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vl4di\OneDrive - BUas\GitHub\Vladislav_Stoimenov_Graduation_Project_25_26\thesis\evidencing\"/>
    </mc:Choice>
  </mc:AlternateContent>
  <bookViews>
    <workbookView xWindow="0" yWindow="0" windowWidth="28800" windowHeight="11130"/>
  </bookViews>
  <sheets>
    <sheet name="Worklog_Tasks&amp;Times" sheetId="1" r:id="rId1"/>
    <sheet name="Overview" sheetId="2" r:id="rId2"/>
    <sheet name="Drop-downs" sheetId="3" r:id="rId3"/>
  </sheets>
  <definedNames>
    <definedName name="_xlnm._FilterDatabase" localSheetId="0" hidden="1">'Worklog_Tasks&amp;Times'!$A$1:$K$14</definedName>
    <definedName name="_xlnm.Print_Area" localSheetId="0">'Worklog_Tasks&amp;Times'!$A$1:$K$202</definedName>
    <definedName name="Z_8BAC9A6B_5D32_4E8D_967D_E17D357516F8_.wvu.FilterData" localSheetId="0" hidden="1">'Worklog_Tasks&amp;Times'!$A$1:$K$14</definedName>
  </definedNames>
  <calcPr calcId="162913"/>
  <customWorkbookViews>
    <customWorkbookView name="TODO" guid="{8BAC9A6B-5D32-4E8D-967D-E17D357516F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0" i="1" l="1"/>
  <c r="I234" i="1"/>
  <c r="I221" i="1"/>
  <c r="I196" i="1"/>
  <c r="I184" i="1"/>
  <c r="I145" i="1"/>
  <c r="I121" i="1"/>
  <c r="I71" i="1"/>
  <c r="I46" i="1"/>
  <c r="I11" i="1"/>
  <c r="I251" i="1"/>
  <c r="I249" i="1"/>
  <c r="I248" i="1"/>
  <c r="I247" i="1"/>
  <c r="I246" i="1"/>
  <c r="I245" i="1"/>
  <c r="I244" i="1"/>
  <c r="I243" i="1"/>
  <c r="I242" i="1"/>
  <c r="I241" i="1"/>
  <c r="G252" i="1"/>
  <c r="H252" i="1"/>
  <c r="I236" i="1"/>
  <c r="I235" i="1"/>
  <c r="I233" i="1"/>
  <c r="I232" i="1"/>
  <c r="I231" i="1"/>
  <c r="I230" i="1"/>
  <c r="I229" i="1"/>
  <c r="I228" i="1"/>
  <c r="I223" i="1"/>
  <c r="I222" i="1"/>
  <c r="I220" i="1"/>
  <c r="I219" i="1"/>
  <c r="I218" i="1"/>
  <c r="I217" i="1"/>
  <c r="I216" i="1"/>
  <c r="I215" i="1"/>
  <c r="I210" i="1"/>
  <c r="I209" i="1"/>
  <c r="I208" i="1"/>
  <c r="I207" i="1"/>
  <c r="I206" i="1"/>
  <c r="I205" i="1"/>
  <c r="I204" i="1"/>
  <c r="I203" i="1"/>
  <c r="H237" i="1"/>
  <c r="G237" i="1"/>
  <c r="H224" i="1"/>
  <c r="G224" i="1"/>
  <c r="H211" i="1"/>
  <c r="G211" i="1"/>
  <c r="I198" i="1"/>
  <c r="I197" i="1"/>
  <c r="I195" i="1"/>
  <c r="I194" i="1"/>
  <c r="I193" i="1"/>
  <c r="I192" i="1"/>
  <c r="I191" i="1"/>
  <c r="I190" i="1"/>
  <c r="I185" i="1"/>
  <c r="I183" i="1"/>
  <c r="I182" i="1"/>
  <c r="I181" i="1"/>
  <c r="I180" i="1"/>
  <c r="I179" i="1"/>
  <c r="I178" i="1"/>
  <c r="I177" i="1"/>
  <c r="I172" i="1"/>
  <c r="I171" i="1"/>
  <c r="I170" i="1"/>
  <c r="I169" i="1"/>
  <c r="I168" i="1"/>
  <c r="I167" i="1"/>
  <c r="I166" i="1"/>
  <c r="I165" i="1"/>
  <c r="I160" i="1"/>
  <c r="I159" i="1"/>
  <c r="I158" i="1"/>
  <c r="I157" i="1"/>
  <c r="I156" i="1"/>
  <c r="I155" i="1"/>
  <c r="I154" i="1"/>
  <c r="I149" i="1"/>
  <c r="I148" i="1"/>
  <c r="I147" i="1"/>
  <c r="I146" i="1"/>
  <c r="I144" i="1"/>
  <c r="I143" i="1"/>
  <c r="I142" i="1"/>
  <c r="I141" i="1"/>
  <c r="I136" i="1"/>
  <c r="I135" i="1"/>
  <c r="I134" i="1"/>
  <c r="I133" i="1"/>
  <c r="I132" i="1"/>
  <c r="I131" i="1"/>
  <c r="I130" i="1"/>
  <c r="I125" i="1"/>
  <c r="I124" i="1"/>
  <c r="I123" i="1"/>
  <c r="I122" i="1"/>
  <c r="I120" i="1"/>
  <c r="I119" i="1"/>
  <c r="I118" i="1"/>
  <c r="I117" i="1"/>
  <c r="I112" i="1"/>
  <c r="I111" i="1"/>
  <c r="I110" i="1"/>
  <c r="I109" i="1"/>
  <c r="I108" i="1"/>
  <c r="I107" i="1"/>
  <c r="I106" i="1"/>
  <c r="I105" i="1"/>
  <c r="I98" i="1"/>
  <c r="I97" i="1"/>
  <c r="I96" i="1"/>
  <c r="I95" i="1"/>
  <c r="I94" i="1"/>
  <c r="I93" i="1"/>
  <c r="I92" i="1"/>
  <c r="I87" i="1"/>
  <c r="I86" i="1"/>
  <c r="I85" i="1"/>
  <c r="I84" i="1"/>
  <c r="I83" i="1"/>
  <c r="I82" i="1"/>
  <c r="I81" i="1"/>
  <c r="I80" i="1"/>
  <c r="I75" i="1"/>
  <c r="I74" i="1"/>
  <c r="I73" i="1"/>
  <c r="I72" i="1"/>
  <c r="I70" i="1"/>
  <c r="I69" i="1"/>
  <c r="I68" i="1"/>
  <c r="I67" i="1"/>
  <c r="I62" i="1"/>
  <c r="I61" i="1"/>
  <c r="I60" i="1"/>
  <c r="I59" i="1"/>
  <c r="I58" i="1"/>
  <c r="I57" i="1"/>
  <c r="I56" i="1"/>
  <c r="I55" i="1"/>
  <c r="I50" i="1"/>
  <c r="I49" i="1"/>
  <c r="I48" i="1"/>
  <c r="I47" i="1"/>
  <c r="I45" i="1"/>
  <c r="I44" i="1"/>
  <c r="I43" i="1"/>
  <c r="I42" i="1"/>
  <c r="I37" i="1"/>
  <c r="I36" i="1"/>
  <c r="I35" i="1"/>
  <c r="I34" i="1"/>
  <c r="I33" i="1"/>
  <c r="I32" i="1"/>
  <c r="I31" i="1"/>
  <c r="I30" i="1"/>
  <c r="I25" i="1"/>
  <c r="I24" i="1"/>
  <c r="I23" i="1"/>
  <c r="I22" i="1"/>
  <c r="I21" i="1"/>
  <c r="I20" i="1"/>
  <c r="I19" i="1"/>
  <c r="I18" i="1"/>
  <c r="I13" i="1"/>
  <c r="I12" i="1"/>
  <c r="I10" i="1"/>
  <c r="I9" i="1"/>
  <c r="I8" i="1"/>
  <c r="I7" i="1"/>
  <c r="I6" i="1"/>
  <c r="I5" i="1"/>
  <c r="I252" i="1" l="1"/>
  <c r="I237" i="1"/>
  <c r="I224" i="1"/>
  <c r="I211" i="1"/>
  <c r="H199" i="1"/>
  <c r="G199" i="1"/>
  <c r="H186" i="1"/>
  <c r="G186" i="1"/>
  <c r="H173" i="1"/>
  <c r="G173" i="1"/>
  <c r="H161" i="1"/>
  <c r="G161" i="1"/>
  <c r="H150" i="1"/>
  <c r="G150" i="1"/>
  <c r="H137" i="1"/>
  <c r="G137" i="1"/>
  <c r="H126" i="1"/>
  <c r="G126" i="1"/>
  <c r="H113" i="1"/>
  <c r="G113" i="1"/>
  <c r="I113" i="1" s="1"/>
  <c r="K10" i="2"/>
  <c r="K11" i="2"/>
  <c r="D12" i="2"/>
  <c r="E12" i="2"/>
  <c r="F12" i="2"/>
  <c r="G12" i="2"/>
  <c r="H12" i="2"/>
  <c r="I12" i="2"/>
  <c r="J12" i="2"/>
  <c r="B11" i="2"/>
  <c r="B10" i="2"/>
  <c r="B9" i="2"/>
  <c r="B8" i="2"/>
  <c r="K8" i="2"/>
  <c r="K9" i="2"/>
  <c r="K7" i="2"/>
  <c r="B7" i="2"/>
  <c r="K6" i="2"/>
  <c r="B6" i="2"/>
  <c r="K5" i="2"/>
  <c r="B5" i="2"/>
  <c r="B4" i="2"/>
  <c r="K3" i="2"/>
  <c r="B3" i="2"/>
  <c r="H99" i="1"/>
  <c r="G99" i="1"/>
  <c r="H88" i="1"/>
  <c r="G88" i="1"/>
  <c r="H76" i="1"/>
  <c r="G76" i="1"/>
  <c r="H63" i="1"/>
  <c r="G63" i="1"/>
  <c r="H51" i="1"/>
  <c r="G51" i="1"/>
  <c r="H38" i="1"/>
  <c r="G38" i="1"/>
  <c r="H26" i="1"/>
  <c r="G26" i="1"/>
  <c r="H14" i="1"/>
  <c r="G14" i="1"/>
  <c r="C4" i="2"/>
  <c r="I161" i="1" l="1"/>
  <c r="G254" i="1"/>
  <c r="H254" i="1"/>
  <c r="I137" i="1"/>
  <c r="I88" i="1"/>
  <c r="I26" i="1"/>
  <c r="I186" i="1"/>
  <c r="I76" i="1"/>
  <c r="I99" i="1"/>
  <c r="I38" i="1"/>
  <c r="I51" i="1"/>
  <c r="I126" i="1"/>
  <c r="I150" i="1"/>
  <c r="I63" i="1"/>
  <c r="I173" i="1"/>
  <c r="I199" i="1"/>
  <c r="C12" i="2"/>
  <c r="I14" i="1"/>
  <c r="K4" i="2"/>
  <c r="I254" i="1" l="1"/>
</calcChain>
</file>

<file path=xl/sharedStrings.xml><?xml version="1.0" encoding="utf-8"?>
<sst xmlns="http://schemas.openxmlformats.org/spreadsheetml/2006/main" count="1173" uniqueCount="520">
  <si>
    <t>Date</t>
  </si>
  <si>
    <t>Status</t>
  </si>
  <si>
    <t>Task</t>
  </si>
  <si>
    <t>Description/Planning</t>
  </si>
  <si>
    <t>Task Type</t>
  </si>
  <si>
    <t>Most suited ILO</t>
  </si>
  <si>
    <t>Est Hours</t>
  </si>
  <si>
    <t>Actual Hours</t>
  </si>
  <si>
    <t>Diff</t>
  </si>
  <si>
    <t>Evidence link</t>
  </si>
  <si>
    <t>Task reflection / notes</t>
  </si>
  <si>
    <t>Week 1</t>
  </si>
  <si>
    <t>week plan:</t>
  </si>
  <si>
    <t>Known Risks</t>
  </si>
  <si>
    <t>Total Hours</t>
  </si>
  <si>
    <t>Week 2</t>
  </si>
  <si>
    <t>Week 3</t>
  </si>
  <si>
    <t xml:space="preserve">Week 4 </t>
  </si>
  <si>
    <t xml:space="preserve">Week 5 </t>
  </si>
  <si>
    <t xml:space="preserve">Week 6 </t>
  </si>
  <si>
    <t>Week 7</t>
  </si>
  <si>
    <t xml:space="preserve">Week 8 </t>
  </si>
  <si>
    <t>Week 9</t>
  </si>
  <si>
    <t>Week 10</t>
  </si>
  <si>
    <t>Week 11</t>
  </si>
  <si>
    <t>Week 12</t>
  </si>
  <si>
    <t>Week 13</t>
  </si>
  <si>
    <t>Week 14</t>
  </si>
  <si>
    <t>Week 15</t>
  </si>
  <si>
    <t>Week 16</t>
  </si>
  <si>
    <t>Total hours this block</t>
  </si>
  <si>
    <t>Learning Objective</t>
  </si>
  <si>
    <t>W1</t>
  </si>
  <si>
    <t>W2</t>
  </si>
  <si>
    <t>W3</t>
  </si>
  <si>
    <t>W4</t>
  </si>
  <si>
    <t>W5</t>
  </si>
  <si>
    <t>W6</t>
  </si>
  <si>
    <t>W7</t>
  </si>
  <si>
    <t>W8</t>
  </si>
  <si>
    <t xml:space="preserve">Total Hours for objective </t>
  </si>
  <si>
    <t>TOTAL HOURS PER WEEK</t>
  </si>
  <si>
    <t>Use this to plan a high level allocation for all 320 hours you are expected to devote to the course during this block. How do you want to allocate your hours for each week?
Why 320 hours? The European Higher Education Framework states that an academic credit is expected to require 25-28 hours to earn.
You earn 15 credits per block, so you should be expected to devote 375 hours to accomplish that. 
CMGT students do fewer hours because the program is more intense.</t>
  </si>
  <si>
    <r>
      <rPr>
        <i/>
        <sz val="10"/>
        <rFont val="Arial"/>
        <family val="2"/>
      </rPr>
      <t xml:space="preserve">Use a formula like this to get your data from Worklog sheet : </t>
    </r>
    <r>
      <rPr>
        <sz val="10"/>
        <color rgb="FF000000"/>
        <rFont val="Arial"/>
        <family val="2"/>
      </rPr>
      <t xml:space="preserve">
=IFERROR(SUM(FILTER('Worklog_Tasks&amp;Times'!$H$5:$H$14,'Worklog_Tasks&amp;Times'!$F$5:$F$14=$B4)),0)</t>
    </r>
  </si>
  <si>
    <t>Task Status</t>
  </si>
  <si>
    <t>ILO selection</t>
  </si>
  <si>
    <t>-</t>
  </si>
  <si>
    <t>Planned</t>
  </si>
  <si>
    <t>Design</t>
  </si>
  <si>
    <t>Research Relevance</t>
  </si>
  <si>
    <t>Unplanned</t>
  </si>
  <si>
    <t>Meeting</t>
  </si>
  <si>
    <t>Research Methodology</t>
  </si>
  <si>
    <t>Blocked</t>
  </si>
  <si>
    <t>Programming</t>
  </si>
  <si>
    <t>Research Application</t>
  </si>
  <si>
    <t>In-Progress</t>
  </si>
  <si>
    <t>Research</t>
  </si>
  <si>
    <t>Product Usefulness</t>
  </si>
  <si>
    <t>Done</t>
  </si>
  <si>
    <t>Testing</t>
  </si>
  <si>
    <t>Product Quality</t>
  </si>
  <si>
    <t>Delayed</t>
  </si>
  <si>
    <t>Workshop</t>
  </si>
  <si>
    <t>Project Management - Process</t>
  </si>
  <si>
    <t>Cancelled</t>
  </si>
  <si>
    <t>Planning</t>
  </si>
  <si>
    <t xml:space="preserve">Project Management - Risk </t>
  </si>
  <si>
    <t>Evidencing</t>
  </si>
  <si>
    <t>Professionalism - Collaboration</t>
  </si>
  <si>
    <t>Debugging</t>
  </si>
  <si>
    <t>Professionalism - Ethics/Legal</t>
  </si>
  <si>
    <t>Lecture</t>
  </si>
  <si>
    <t>Professionalism - Communication</t>
  </si>
  <si>
    <t>Study</t>
  </si>
  <si>
    <t>Learning - Feedback</t>
  </si>
  <si>
    <t>Learning - Implementation</t>
  </si>
  <si>
    <t>Distraction</t>
  </si>
  <si>
    <t>Break</t>
  </si>
  <si>
    <t>Create repo and init structure</t>
  </si>
  <si>
    <t>GitHub repo, folder layout</t>
  </si>
  <si>
    <t>repo root</t>
  </si>
  <si>
    <t>Set up Python/CUDA environment</t>
  </si>
  <si>
    <t>PyTorch, Ultralytics, torchvision install</t>
  </si>
  <si>
    <t>requirements.txt</t>
  </si>
  <si>
    <t>Read YOLO/Faster R-CNN/RDD2022/CRDDC papers</t>
  </si>
  <si>
    <t>Core architecture and benchmark papers</t>
  </si>
  <si>
    <t>references.bib</t>
  </si>
  <si>
    <t>Read OSMnx/routing/PCI literature</t>
  </si>
  <si>
    <t>Routing and risk-scoring background</t>
  </si>
  <si>
    <t>Decide YOLOv8n vs Faster R-CNN as the two architectures</t>
  </si>
  <si>
    <t>One-stage vs two-stage comparison</t>
  </si>
  <si>
    <t>thesis 3.2</t>
  </si>
  <si>
    <t>Decide on rule-based (not learned) risk scoring</t>
  </si>
  <si>
    <t>Auditability over accuracy</t>
  </si>
  <si>
    <t>Finalise H1-H4 wording</t>
  </si>
  <si>
    <t>From proposal feedback</t>
  </si>
  <si>
    <t>Plan src/ structure and config approach</t>
  </si>
  <si>
    <t>Folder conventions, config pattern</t>
  </si>
  <si>
    <t>Download RDD2022, verify folders/counts</t>
  </si>
  <si>
    <t>7 country sources</t>
  </si>
  <si>
    <t>Explore class/country distribution in notebook</t>
  </si>
  <si>
    <t>First look at the raw pool</t>
  </si>
  <si>
    <t>notebooks/</t>
  </si>
  <si>
    <t>Decide to keep 4 damage classes, filter 5th</t>
  </si>
  <si>
    <t>D00/D10/D20/D40 only</t>
  </si>
  <si>
    <t>scripts/</t>
  </si>
  <si>
    <t>Write annotation conversion script</t>
  </si>
  <si>
    <t>Convert raw RDD2022 labels</t>
  </si>
  <si>
    <t>Build small dataset split (277/60/60)</t>
  </si>
  <si>
    <t>First dataset scale, for pipeline validation</t>
  </si>
  <si>
    <t>Verify small dataset integrity</t>
  </si>
  <si>
    <t>File counts, label format</t>
  </si>
  <si>
    <t>Research CVAT for later manual annotation</t>
  </si>
  <si>
    <t>Tool choice for the Sofia dataset</t>
  </si>
  <si>
    <t>Plan Streamlit app page structure</t>
  </si>
  <si>
    <t>Dashboard/Upload/Map/Route pages</t>
  </si>
  <si>
    <t>Set up repo, environment and tooling. Read core literature. Make early architecture and risk-scoring decisions. Finalise H1-H4 and plan project structure.</t>
  </si>
  <si>
    <t>Environment/GPU setup may take longer than planned.</t>
  </si>
  <si>
    <t>Explore RDD2022. Decide which classes to keep. Build the small validation dataset. Plan the app page structure.</t>
  </si>
  <si>
    <t>RDD2022 download and class filtering may surface format issues.</t>
  </si>
  <si>
    <t>Write YOLOv8n training config</t>
  </si>
  <si>
    <t>Image size, batch, early stop</t>
  </si>
  <si>
    <t>Write Faster R-CNN training config</t>
  </si>
  <si>
    <t>Grad accumulation, mixed precision</t>
  </si>
  <si>
    <t>Debug FRCNN memory errors</t>
  </si>
  <si>
    <t>8GB GPU constraint</t>
  </si>
  <si>
    <t>Project Management - Risk</t>
  </si>
  <si>
    <t>Train YOLOv8n on small dataset</t>
  </si>
  <si>
    <t>First full run</t>
  </si>
  <si>
    <t>runs/</t>
  </si>
  <si>
    <t>Train Faster R-CNN on small dataset</t>
  </si>
  <si>
    <t>Evaluate both small-dataset models</t>
  </si>
  <si>
    <t>P/R/F1/mAP</t>
  </si>
  <si>
    <t>outputs/reports/</t>
  </si>
  <si>
    <t>Research OSMnx and Folium basics</t>
  </si>
  <si>
    <t>For the routing/map layers</t>
  </si>
  <si>
    <t>Draft pipeline architecture diagram</t>
  </si>
  <si>
    <t>First version of the overview figure</t>
  </si>
  <si>
    <t>thesis figure 1</t>
  </si>
  <si>
    <t>Train the first models on the small dataset. Start researching the geospatial and app layers needed for a full pipeline.</t>
  </si>
  <si>
    <t>Faster R-CNN memory footprint on 8GB GPU is untested.</t>
  </si>
  <si>
    <t>Design and implement the risk-scoring model, so the small-dataset model's output can be scored.</t>
  </si>
  <si>
    <t>None significant.</t>
  </si>
  <si>
    <t>Design per-detection risk formula</t>
  </si>
  <si>
    <t>Severity x confidence multiplier</t>
  </si>
  <si>
    <t>thesis 3.3</t>
  </si>
  <si>
    <t>Define confidence multiplier function</t>
  </si>
  <si>
    <t>Floor 0.7, threshold 0.25</t>
  </si>
  <si>
    <t>Design max+damped-rest combination rule</t>
  </si>
  <si>
    <t>beta = 0.3</t>
  </si>
  <si>
    <t>Decide to exclude bbox size from severity</t>
  </si>
  <si>
    <t>Document rationale</t>
  </si>
  <si>
    <t>Build risk_weights.yaml</t>
  </si>
  <si>
    <t>Single config source</t>
  </si>
  <si>
    <t>config/risk_weights.yaml</t>
  </si>
  <si>
    <t>Implement src/risk/scoring.py and combine.py</t>
  </si>
  <si>
    <t>Per-detection scoring + shared combinator</t>
  </si>
  <si>
    <t>src/risk/</t>
  </si>
  <si>
    <t>Implement observation_risk.py</t>
  </si>
  <si>
    <t>[0,1] cap, categories</t>
  </si>
  <si>
    <t>src/risk/observation_risk.py</t>
  </si>
  <si>
    <t>Unit test risk-scoring edge cases</t>
  </si>
  <si>
    <t>Confidence floor, saturation, combination</t>
  </si>
  <si>
    <t>Build minimal geospatial matching and routing, to prove the full detection-to-route chain works.</t>
  </si>
  <si>
    <t>OSMnx download of the Sofia graph may be slow or incomplete.</t>
  </si>
  <si>
    <t>Set up Sofia OSM graph download</t>
  </si>
  <si>
    <t>OSMnx, 8km radius</t>
  </si>
  <si>
    <t>src/geospatial/network.py</t>
  </si>
  <si>
    <t>Cache OSM graph locally</t>
  </si>
  <si>
    <t>Test reload speed</t>
  </si>
  <si>
    <t>src/geospatial/</t>
  </si>
  <si>
    <t>Implement GPS-to-edge matching</t>
  </si>
  <si>
    <t>50m threshold</t>
  </si>
  <si>
    <t>Implement segment-level risk aggregation</t>
  </si>
  <si>
    <t>Total risk + density</t>
  </si>
  <si>
    <t>src/risk/segment_aggregation.py</t>
  </si>
  <si>
    <t>Implement risk-aware routing cost c(e)</t>
  </si>
  <si>
    <t>length + alpha x density</t>
  </si>
  <si>
    <t>src/routing/router.py</t>
  </si>
  <si>
    <t>Run shortest vs risk-aware path on sample detections</t>
  </si>
  <si>
    <t>Script-level test</t>
  </si>
  <si>
    <t>src/routing/</t>
  </si>
  <si>
    <t>Confirm the full chain works end to end (script)</t>
  </si>
  <si>
    <t>Detection to risk to map to route</t>
  </si>
  <si>
    <t>Calibrate alpha empirically against first sample data</t>
  </si>
  <si>
    <t>Early, rough calibration</t>
  </si>
  <si>
    <t>Build the first Streamlit app and wire everything together: the working pipeline milestone.</t>
  </si>
  <si>
    <t>Streamlit page state management may need rework.</t>
  </si>
  <si>
    <t>Build Streamlit app skeleton</t>
  </si>
  <si>
    <t>Shared config loading</t>
  </si>
  <si>
    <t>app.py, pages/</t>
  </si>
  <si>
    <t>Build Upload and Detect page</t>
  </si>
  <si>
    <t>Upload, run model, confirm-to-store</t>
  </si>
  <si>
    <t>pages/2_Upload_Detect.py</t>
  </si>
  <si>
    <t>Design and build SQLite schema</t>
  </si>
  <si>
    <t>4 tables</t>
  </si>
  <si>
    <t>src/app/database.py</t>
  </si>
  <si>
    <t>Build basic Dashboard page</t>
  </si>
  <si>
    <t>Summary stats, overview map</t>
  </si>
  <si>
    <t>pages/1_Dashboard.py</t>
  </si>
  <si>
    <t>Build basic Damage Map page</t>
  </si>
  <si>
    <t>Markers, segment colouring</t>
  </si>
  <si>
    <t>pages/3_Damage_Map.py</t>
  </si>
  <si>
    <t>Build basic Safer Route Planner page</t>
  </si>
  <si>
    <t>Origin/destination, route comparison</t>
  </si>
  <si>
    <t>pages/4_Safer_Route_Planner.py</t>
  </si>
  <si>
    <t>Full first end-to-end walkthrough test</t>
  </si>
  <si>
    <t>Milestone: pipeline complete</t>
  </si>
  <si>
    <t>first working pipeline</t>
  </si>
  <si>
    <t>Fix bugs found in first walkthrough</t>
  </si>
  <si>
    <t>Upload/map/routing glitches</t>
  </si>
  <si>
    <t>Go back to training: audit dataset bias and retrain on a medium-scale dataset.</t>
  </si>
  <si>
    <t>Bias found in the small dataset may require a bigger-than-planned rebuild.</t>
  </si>
  <si>
    <t>Audit class balance of small-dataset results</t>
  </si>
  <si>
    <t>Check D00 vs D20/D40 ratios</t>
  </si>
  <si>
    <t>Audit country balance</t>
  </si>
  <si>
    <t>Japan share vs raw pool</t>
  </si>
  <si>
    <t>Confirm D00 2-3x overrepresentation</t>
  </si>
  <si>
    <t>Vs. D20/D40</t>
  </si>
  <si>
    <t>bias found</t>
  </si>
  <si>
    <t>Confirm Japan ~46% vs ~28% raw</t>
  </si>
  <si>
    <t>Country skew</t>
  </si>
  <si>
    <t>Build medium dataset split (1,034/224/221)</t>
  </si>
  <si>
    <t>Second dataset scale</t>
  </si>
  <si>
    <t>data/processed/medium/</t>
  </si>
  <si>
    <t>Train YOLOv8n on medium dataset</t>
  </si>
  <si>
    <t>Confirm imbalance effect</t>
  </si>
  <si>
    <t>Train Faster R-CNN on medium dataset</t>
  </si>
  <si>
    <t>Evaluate medium-dataset models</t>
  </si>
  <si>
    <t>Design and build the balanced large dataset.</t>
  </si>
  <si>
    <t>D40 (pothole) has zero images from 3 of 7 countries; quota maths must account for this.</t>
  </si>
  <si>
    <t>Design water-filling balancing algorithm</t>
  </si>
  <si>
    <t>Per-class quota across countries</t>
  </si>
  <si>
    <t>Handle D40's 4-country constraint</t>
  </si>
  <si>
    <t>Zero pothole images from 3 countries</t>
  </si>
  <si>
    <t>Implement balancing script</t>
  </si>
  <si>
    <t>Water-filling allocation</t>
  </si>
  <si>
    <t>Unit test balancing script</t>
  </si>
  <si>
    <t>D40 4-country constraint</t>
  </si>
  <si>
    <t>Run balancing script, build large dataset</t>
  </si>
  <si>
    <t>4,291/597/592</t>
  </si>
  <si>
    <t>data/processed/large/</t>
  </si>
  <si>
    <t>Verify balancing output</t>
  </si>
  <si>
    <t>Counts match quotas</t>
  </si>
  <si>
    <t>thesis Table A.1</t>
  </si>
  <si>
    <t>Add damage-free negatives</t>
  </si>
  <si>
    <t>200/30 images</t>
  </si>
  <si>
    <t>Train both models on the large dataset and evaluate; discover Faster R-CNN's overfitting pattern.</t>
  </si>
  <si>
    <t>Faster R-CNN may hit the same GPU memory issue at larger scale.</t>
  </si>
  <si>
    <t>Train YOLOv8n on large dataset</t>
  </si>
  <si>
    <t>Monitor run</t>
  </si>
  <si>
    <t>Train Faster R-CNN on large dataset</t>
  </si>
  <si>
    <t>models/fasterrcnn_large/</t>
  </si>
  <si>
    <t>Debug FRCNN GPU memory error, resume training</t>
  </si>
  <si>
    <t>Restart from checkpoint</t>
  </si>
  <si>
    <t>Evaluate YOLOv8n (large dataset)</t>
  </si>
  <si>
    <t>Full metrics</t>
  </si>
  <si>
    <t>Evaluate Faster R-CNN (large dataset)</t>
  </si>
  <si>
    <t>Compute per-class mAP50-95 for both models</t>
  </si>
  <si>
    <t>D40 strongest after balancing</t>
  </si>
  <si>
    <t>Review FRCNN loss curves</t>
  </si>
  <si>
    <t>Best checkpoint at epoch 2 of 22</t>
  </si>
  <si>
    <t>overfitting found</t>
  </si>
  <si>
    <t>Try reduced LR / increased patience on FRCNN</t>
  </si>
  <si>
    <t>Attempts to curb overfitting</t>
  </si>
  <si>
    <t>unresolved</t>
  </si>
  <si>
    <t>Run the H1 statistical tests and write up the model-comparison result.</t>
  </si>
  <si>
    <t>Document FRCNN overfitting as accepted limitation</t>
  </si>
  <si>
    <t>Decision to report, not chase further</t>
  </si>
  <si>
    <t>thesis 5.4</t>
  </si>
  <si>
    <t>Measure per-image inference time</t>
  </si>
  <si>
    <t>Same 592 images, same session</t>
  </si>
  <si>
    <t>Run Wilcoxon signed-rank test on inference time</t>
  </si>
  <si>
    <t>H1 complexity criterion</t>
  </si>
  <si>
    <t>Run bootstrap CI on mAP50-95 difference</t>
  </si>
  <si>
    <t>H1 accuracy criterion</t>
  </si>
  <si>
    <t>Measure training wall-clock time (both models)</t>
  </si>
  <si>
    <t>Identical hardware</t>
  </si>
  <si>
    <t>Re-run small/medium/large comparison table</t>
  </si>
  <si>
    <t>For the thesis iterations table</t>
  </si>
  <si>
    <t>thesis Table 2</t>
  </si>
  <si>
    <t>Update pipeline diagram with H1-H4 tags</t>
  </si>
  <si>
    <t>Final version of figure 1</t>
  </si>
  <si>
    <t>Draft H1 Results and Discussion write-up</t>
  </si>
  <si>
    <t>Section 4.1.3 / 5.1</t>
  </si>
  <si>
    <t>thesis 4.1.3</t>
  </si>
  <si>
    <t>Collect and annotate the first manual Sofia dataset (for domain-adaptation fine-tuning).</t>
  </si>
  <si>
    <t>Driving video collection depends on weather and traffic.</t>
  </si>
  <si>
    <t>Plan manual Sofia data collection</t>
  </si>
  <si>
    <t>Route, method</t>
  </si>
  <si>
    <t>thesis 3.6</t>
  </si>
  <si>
    <t>Test recording setup</t>
  </si>
  <si>
    <t>Phone mounted in car</t>
  </si>
  <si>
    <t>Collect driving video (session 1)</t>
  </si>
  <si>
    <t>Public roads around Sofia</t>
  </si>
  <si>
    <t>data/manual/</t>
  </si>
  <si>
    <t>Collect driving video (session 2)</t>
  </si>
  <si>
    <t>Continued coverage</t>
  </si>
  <si>
    <t>Extract candidate damage frames from video</t>
  </si>
  <si>
    <t>From both sessions</t>
  </si>
  <si>
    <t>data/manual/images/</t>
  </si>
  <si>
    <t>Annotate in CVAT - D00/D10 classes</t>
  </si>
  <si>
    <t>Bounding boxes</t>
  </si>
  <si>
    <t>data/manual/labels/</t>
  </si>
  <si>
    <t>Annotate in CVAT - D20/D40 classes</t>
  </si>
  <si>
    <t>Finish annotation and fine-tune both models on the manual Sofia data.</t>
  </si>
  <si>
    <t>Fine-tuning hyperparameters are untested on this small a dataset.</t>
  </si>
  <si>
    <t>Export annotations, verify format, fix mismatches</t>
  </si>
  <si>
    <t>YOLO Detection 1.0 format</t>
  </si>
  <si>
    <t>Audit manual-set class distribution</t>
  </si>
  <si>
    <t>150/75/90/35 images per class</t>
  </si>
  <si>
    <t>Split fine-tune train/val/test</t>
  </si>
  <si>
    <t>131/28/42, non-overlapping</t>
  </si>
  <si>
    <t>thesis Table: Sofia split</t>
  </si>
  <si>
    <t>Baseline-evaluate both models on Sofia test set</t>
  </si>
  <si>
    <t>No fine-tuning yet</t>
  </si>
  <si>
    <t>domain gap found</t>
  </si>
  <si>
    <t>Design fine-tuning protocol</t>
  </si>
  <si>
    <t>Reduced LR, short epoch budget</t>
  </si>
  <si>
    <t>Fine-tune YOLOv8n on 131-image split</t>
  </si>
  <si>
    <t>From RDD2022-large weights</t>
  </si>
  <si>
    <t>models/yolov8n_sofia_finetune/</t>
  </si>
  <si>
    <t>Fine-tune Faster R-CNN on 131-image split</t>
  </si>
  <si>
    <t>Same protocol</t>
  </si>
  <si>
    <t>models/fasterrcnn_sofia_finetune/</t>
  </si>
  <si>
    <t>Evaluate fine-tuned models, analyse domain-adaptation gains</t>
  </si>
  <si>
    <t>Before/after comparison</t>
  </si>
  <si>
    <t>thesis 5.2</t>
  </si>
  <si>
    <t>Rebuild the app around the fine-tuned model and finish the remaining pages.</t>
  </si>
  <si>
    <t>Swap app's active model to fine-tuned YOLOv8n</t>
  </si>
  <si>
    <t>Update app_config.yaml</t>
  </si>
  <si>
    <t>config/app_config.yaml</t>
  </si>
  <si>
    <t>Rebuild Damage Map - segment colouring, heatmap layer</t>
  </si>
  <si>
    <t>Full version</t>
  </si>
  <si>
    <t>Rebuild Safer Route Planner - alpha slider, comparison display</t>
  </si>
  <si>
    <t>Record distance-increase per route</t>
  </si>
  <si>
    <t>Logged, not enforced</t>
  </si>
  <si>
    <t>Full app walkthrough test with fine-tuned model</t>
  </si>
  <si>
    <t>Upload to route planner</t>
  </si>
  <si>
    <t>Fix marker/map-centring/duplicate-upload bugs</t>
  </si>
  <si>
    <t>From walkthrough</t>
  </si>
  <si>
    <t>Update Dashboard with real Sofia observations</t>
  </si>
  <si>
    <t>Live data instead of placeholders</t>
  </si>
  <si>
    <t>Collect the second Sofia photo set and run the first (unsuccessful) H3 routing sample.</t>
  </si>
  <si>
    <t>City-wide risk coverage may be too sparse for a usable H3 sample.</t>
  </si>
  <si>
    <t>Plan second photo set</t>
  </si>
  <si>
    <t>Sveta Troitsa, GPS needed</t>
  </si>
  <si>
    <t>Collect geotagged photos (session 1)</t>
  </si>
  <si>
    <t>Standard camera app</t>
  </si>
  <si>
    <t>Run initial 40-route H3 sample (city-wide)</t>
  </si>
  <si>
    <t>Random origin-destination pairs</t>
  </si>
  <si>
    <t>outputs/geo/route_comparison.json</t>
  </si>
  <si>
    <t>Discover only 4 risky edges citywide</t>
  </si>
  <si>
    <t>No usable test result</t>
  </si>
  <si>
    <t>delayed test</t>
  </si>
  <si>
    <t>Collect geotagged photos (session 2)</t>
  </si>
  <si>
    <t>Sveta Troitsa</t>
  </si>
  <si>
    <t>Collect geotagged photos (session 3)</t>
  </si>
  <si>
    <t>Process new photos through the pipeline</t>
  </si>
  <si>
    <t>Detection + risk scoring</t>
  </si>
  <si>
    <t>outputs/geo/segment_risk.csv</t>
  </si>
  <si>
    <t>Derive neighbourhood evaluation boundary</t>
  </si>
  <si>
    <t>From GPS extent of the photos</t>
  </si>
  <si>
    <t>Complete the remaining hypothesis tests: H3 (re-run), H4 and H2.</t>
  </si>
  <si>
    <t>Manual segment rating is subjective; keep it blind to generated risk.</t>
  </si>
  <si>
    <t>Run second 40-route H3 sample</t>
  </si>
  <si>
    <t>Restricted to neighbourhood nodes</t>
  </si>
  <si>
    <t>Run Wilcoxon on hazard exposure, check distance constraint</t>
  </si>
  <si>
    <t>H3 statistical test</t>
  </si>
  <si>
    <t>Rate 16 road segments 1-5</t>
  </si>
  <si>
    <t>Both sessions, blind to generated risk</t>
  </si>
  <si>
    <t>outputs/reports/h4_evaluation_results.csv</t>
  </si>
  <si>
    <t>Run Spearman correlations (total risk/density vs ratings)</t>
  </si>
  <si>
    <t>H4 test</t>
  </si>
  <si>
    <t>Select and label 42-image H2 sample</t>
  </si>
  <si>
    <t>Independent, pre-model</t>
  </si>
  <si>
    <t>outputs/reports/h2_evaluation_results.csv</t>
  </si>
  <si>
    <t>Run pipeline on H2 sample, compute accuracy/kappa/F1</t>
  </si>
  <si>
    <t>H2 statistics</t>
  </si>
  <si>
    <t>outputs/reports/h2_confusion_matrix.png</t>
  </si>
  <si>
    <t>Inspect detector output on H2 misses</t>
  </si>
  <si>
    <t>Trace causes of under-scoring</t>
  </si>
  <si>
    <t>thesis 4.1.4</t>
  </si>
  <si>
    <t>Draft H2/H3/H4 results notes</t>
  </si>
  <si>
    <t>For later write-up</t>
  </si>
  <si>
    <t>thesis 4.1</t>
  </si>
  <si>
    <t>Run the first round of the usability study (5 participants) and fix the clearest issues found.</t>
  </si>
  <si>
    <t>A 5-person pilot may be too small to settle every theme; keep it explicitly a pilot.</t>
  </si>
  <si>
    <t>Design usability survey and walkthrough script</t>
  </si>
  <si>
    <t>5 Likert + 4 open-ended questions</t>
  </si>
  <si>
    <t>Recruit first 5 participants</t>
  </si>
  <si>
    <t>No prior app experience</t>
  </si>
  <si>
    <t>Run usability walkthroughs - P01-P03</t>
  </si>
  <si>
    <t>Guided session</t>
  </si>
  <si>
    <t>Run usability walkthroughs - P04-P05</t>
  </si>
  <si>
    <t>Compile closed-question stats and code themes (pilot, n=5)</t>
  </si>
  <si>
    <t>First pass</t>
  </si>
  <si>
    <t>Identify interface issues raised by the pilot group</t>
  </si>
  <si>
    <t>Alpha slider, pin selection unclear</t>
  </si>
  <si>
    <t>issues found</t>
  </si>
  <si>
    <t>Fix the clearest issues before the next round</t>
  </si>
  <si>
    <t>Alpha-slider help text, map hint</t>
  </si>
  <si>
    <t>Final risk-config review</t>
  </si>
  <si>
    <t>Last check before freezing</t>
  </si>
  <si>
    <t>Week 17</t>
  </si>
  <si>
    <t>Week 18</t>
  </si>
  <si>
    <t>Week 19</t>
  </si>
  <si>
    <t>Week 20</t>
  </si>
  <si>
    <t>Run the second round of the usability study (5 more, 10 total) and finalise/freeze the pipeline.</t>
  </si>
  <si>
    <t>Re-coding themes with more participants may change earlier conclusions.</t>
  </si>
  <si>
    <t>Recruit 5 more participants</t>
  </si>
  <si>
    <t>To reach 10 total</t>
  </si>
  <si>
    <t>Run usability walkthroughs - P06-P08</t>
  </si>
  <si>
    <t>Run usability walkthroughs - P09-P10</t>
  </si>
  <si>
    <t>Recompute closed-question stats for n=10, regenerate chart</t>
  </si>
  <si>
    <t>Full sample</t>
  </si>
  <si>
    <t>outputs/reports/qualitative_survey_means_n10.png</t>
  </si>
  <si>
    <t>Code open-ended responses into 7 themes (full n=10)</t>
  </si>
  <si>
    <t>Final thematic coding</t>
  </si>
  <si>
    <t>thesis/qualitative_thematic_analysis.md</t>
  </si>
  <si>
    <t>Full pipeline smoke test end to end</t>
  </si>
  <si>
    <t>RDD2022 image through to routing</t>
  </si>
  <si>
    <t>Freeze model weights, risk config, app config</t>
  </si>
  <si>
    <t>Final values locked</t>
  </si>
  <si>
    <t>models/, config/</t>
  </si>
  <si>
    <t>Capture final application screenshots</t>
  </si>
  <si>
    <t>screenshots/</t>
  </si>
  <si>
    <t>Write Introduction, Related Work and Methodology, including the qualitative evaluation method.</t>
  </si>
  <si>
    <t>Large writing volume; prioritise sections with stable, frozen numbers first.</t>
  </si>
  <si>
    <t>Write Introduction - context/problem/RQs</t>
  </si>
  <si>
    <t>Section 1.1-1.2</t>
  </si>
  <si>
    <t>thesis section 1</t>
  </si>
  <si>
    <t>Write Introduction - approach overview, pipeline figure</t>
  </si>
  <si>
    <t>Section 1.3</t>
  </si>
  <si>
    <t>thesis section 1.3</t>
  </si>
  <si>
    <t>Write Related Work</t>
  </si>
  <si>
    <t>Detection/architectures/risk/routing/gap</t>
  </si>
  <si>
    <t>thesis section 2</t>
  </si>
  <si>
    <t>Write Methodology - dataset/models/risk scoring</t>
  </si>
  <si>
    <t>Sections 3.1-3.3</t>
  </si>
  <si>
    <t>thesis section 3</t>
  </si>
  <si>
    <t>Write Methodology - routing/prototype sections</t>
  </si>
  <si>
    <t>Sections 3.4-3.5</t>
  </si>
  <si>
    <t>Write Methodology - qualitative usability evaluation method</t>
  </si>
  <si>
    <t>Survey design, walkthrough protocol, analysis plan</t>
  </si>
  <si>
    <t>thesis section 3.8</t>
  </si>
  <si>
    <t>Build/insert remaining figures</t>
  </si>
  <si>
    <t>Dataset examples, workflow diagram, worked example</t>
  </si>
  <si>
    <t>thesis/figures/</t>
  </si>
  <si>
    <t>Internal consistency pass on numbers written so far</t>
  </si>
  <si>
    <t>Cross-check vs outputs/reports/</t>
  </si>
  <si>
    <t>Write Results, Discussion, Ethics and Conclusion; final touches and proofread.</t>
  </si>
  <si>
    <t>Compile/reference errors can surface late; leave time to fix them.</t>
  </si>
  <si>
    <t>Write Results - H1/H2</t>
  </si>
  <si>
    <t>Section 4.1</t>
  </si>
  <si>
    <t>thesis section 4.1</t>
  </si>
  <si>
    <t>Write Results - H3/H4, qualitative (n=10)</t>
  </si>
  <si>
    <t>Section 4</t>
  </si>
  <si>
    <t>thesis section 4</t>
  </si>
  <si>
    <t>Write Discussion - H1, domain gap, H2 shortfall</t>
  </si>
  <si>
    <t>Sections 5.1-5.3</t>
  </si>
  <si>
    <t>thesis section 5</t>
  </si>
  <si>
    <t>Write Discussion - H3/H4, limitations, implications, future work</t>
  </si>
  <si>
    <t>Sections 5.4-5.7</t>
  </si>
  <si>
    <t>Write Ethics section</t>
  </si>
  <si>
    <t>Section 6</t>
  </si>
  <si>
    <t>thesis section 6</t>
  </si>
  <si>
    <t>Write Conclusion</t>
  </si>
  <si>
    <t>Section 7</t>
  </si>
  <si>
    <t>thesis section 7</t>
  </si>
  <si>
    <t>Final abstract and title-page pass</t>
  </si>
  <si>
    <t>Match final numbers</t>
  </si>
  <si>
    <t>thesis abstract</t>
  </si>
  <si>
    <t>Full proofread and reference check</t>
  </si>
  <si>
    <t>Whole document</t>
  </si>
  <si>
    <t>Final week: evidencing only.</t>
  </si>
  <si>
    <t>Evidence links must point to the final, frozen versions of files.</t>
  </si>
  <si>
    <t>Finalise Work Log</t>
  </si>
  <si>
    <t>All 20 weeks checked for accuracy</t>
  </si>
  <si>
    <t>thesis/evidencing/</t>
  </si>
  <si>
    <t>Write Learning Log entries - Weeks 1-7</t>
  </si>
  <si>
    <t>Weekly reflections and feedback</t>
  </si>
  <si>
    <t>Write Learning Log entries - Weeks 8-14</t>
  </si>
  <si>
    <t>Write Learning Log entries - Weeks 15-20</t>
  </si>
  <si>
    <t>Collect and organise evidence links</t>
  </si>
  <si>
    <t>Code, thesis sections, outputs</t>
  </si>
  <si>
    <t>Fill Assessment Rubric - ILO 1 (Research)</t>
  </si>
  <si>
    <t>Relevance/Methodology/Application</t>
  </si>
  <si>
    <t>Fill Assessment Rubric - ILO 2 (Product)</t>
  </si>
  <si>
    <t>Usefulness/Quality</t>
  </si>
  <si>
    <t>Fill Assessment Rubric - ILO 3 (Management)</t>
  </si>
  <si>
    <t>Process/Risk/Problem-solving/Ethics</t>
  </si>
  <si>
    <t>Fill Assessment Rubric - ILO 4 and 5</t>
  </si>
  <si>
    <t>Professionalism/Learning</t>
  </si>
  <si>
    <t>Final review of all evidencing documents</t>
  </si>
  <si>
    <t>Cross-check against portfolio</t>
  </si>
  <si>
    <t>Supervisor kickoff check-in</t>
  </si>
  <si>
    <t>Review architecture/risk-scoring decisions and H1-H4 wording</t>
  </si>
  <si>
    <t>Supervisor check-in</t>
  </si>
  <si>
    <t>Review risk-scoring model design</t>
  </si>
  <si>
    <t>Demo the first working model</t>
  </si>
  <si>
    <t>Review H1 result and the FRCNN overfitting decision</t>
  </si>
  <si>
    <t>Review domain-adaptation results</t>
  </si>
  <si>
    <t>Review H2/H3/H4 results before the qualitative study</t>
  </si>
  <si>
    <t>Review pilot usability issues before round 2</t>
  </si>
  <si>
    <t>Feedback on Introduction/Related Work/Methodology draft</t>
  </si>
  <si>
    <t>Feedback on the full thesis draft</t>
  </si>
  <si>
    <t>Final check-in</t>
  </si>
  <si>
    <t>Confirm everything is ready before submission</t>
  </si>
  <si>
    <t>Hard to find participants since the prototype is on local machine</t>
  </si>
  <si>
    <t>will have to add few more visuals and formula explanations</t>
  </si>
  <si>
    <t>Got feedback to make minor changes to 2 small things in the thesis, but eveyrthing else looks fine by now</t>
  </si>
  <si>
    <t>We discussed the whole structure of the thesi and section ordering and formatting</t>
  </si>
  <si>
    <t>I demoed the app to the supervisor and got feedback that everything works fine by now, but have to ellaborate everything in the thesis.</t>
  </si>
  <si>
    <t>visual dataset inspection notebook</t>
  </si>
  <si>
    <t>data</t>
  </si>
  <si>
    <t>scripts</t>
  </si>
  <si>
    <t>first YOLO training</t>
  </si>
  <si>
    <t>first FasteRNN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</si>
</sst>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quot;-&quot;mmm&quot;-&quot;yyyy"/>
    <numFmt numFmtId="165" formatCode="d/m/yy"/>
  </numFmts>
  <fonts count="19" x14ac:knownFonts="1">
    <font>
      <sz val="10"/>
      <color rgb="FF000000"/>
      <name val="Arial"/>
    </font>
    <font>
      <sz val="10"/>
      <color rgb="FFFFFFFF"/>
      <name val="Arial"/>
      <family val="2"/>
    </font>
    <font>
      <b/>
      <sz val="10"/>
      <color rgb="FF000000"/>
      <name val="Calibri"/>
      <family val="2"/>
    </font>
    <font>
      <b/>
      <sz val="9"/>
      <color rgb="FFFFFFFF"/>
      <name val="Calibri"/>
      <family val="2"/>
    </font>
    <font>
      <b/>
      <sz val="9"/>
      <name val="Calibri"/>
      <family val="2"/>
    </font>
    <font>
      <sz val="10"/>
      <name val="Arial"/>
      <family val="2"/>
    </font>
    <font>
      <sz val="10"/>
      <color rgb="FF000000"/>
      <name val="Calibri"/>
      <family val="2"/>
    </font>
    <font>
      <i/>
      <sz val="9"/>
      <color rgb="FF000000"/>
      <name val="Calibri"/>
      <family val="2"/>
    </font>
    <font>
      <sz val="9"/>
      <name val="Calibri"/>
      <family val="2"/>
    </font>
    <font>
      <i/>
      <sz val="8"/>
      <name val="Calibri"/>
      <family val="2"/>
    </font>
    <font>
      <i/>
      <sz val="10"/>
      <color rgb="FF000000"/>
      <name val="Calibri"/>
      <family val="2"/>
    </font>
    <font>
      <i/>
      <sz val="10"/>
      <name val="Arial"/>
      <family val="2"/>
    </font>
    <font>
      <sz val="10"/>
      <color rgb="FF000000"/>
      <name val="Arial"/>
      <family val="2"/>
    </font>
    <font>
      <i/>
      <sz val="8"/>
      <name val="Calibri"/>
      <family val="2"/>
    </font>
    <font>
      <sz val="9"/>
      <name val="Calibri"/>
      <family val="2"/>
    </font>
    <font>
      <b/>
      <sz val="9"/>
      <color rgb="FF006100"/>
      <name val="Calibri"/>
      <family val="2"/>
    </font>
    <font>
      <i/>
      <sz val="9"/>
      <name val="Calibri"/>
      <family val="2"/>
    </font>
    <font>
      <b/>
      <sz val="9"/>
      <color rgb="FF006100"/>
      <name val="Calibri"/>
      <family val="2"/>
    </font>
    <font>
      <u/>
      <sz val="10"/>
      <color theme="10"/>
      <name val="Arial"/>
    </font>
  </fonts>
  <fills count="15">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F3F3F3"/>
        <bgColor rgb="FFF3F3F3"/>
      </patternFill>
    </fill>
    <fill>
      <patternFill patternType="solid">
        <fgColor rgb="FFEFEFEF"/>
        <bgColor rgb="FFEFEFEF"/>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8" fillId="0" borderId="0" applyNumberFormat="0" applyFill="0" applyBorder="0" applyAlignment="0" applyProtection="0"/>
  </cellStyleXfs>
  <cellXfs count="83">
    <xf numFmtId="0" fontId="0" fillId="0" borderId="0" xfId="0"/>
    <xf numFmtId="0" fontId="1" fillId="2" borderId="0" xfId="0" applyFont="1" applyFill="1"/>
    <xf numFmtId="0" fontId="2" fillId="0" borderId="2" xfId="0" applyFont="1" applyBorder="1" applyAlignment="1">
      <alignment horizontal="center"/>
    </xf>
    <xf numFmtId="0" fontId="3" fillId="2" borderId="0" xfId="0" applyFont="1" applyFill="1" applyAlignment="1">
      <alignment wrapText="1"/>
    </xf>
    <xf numFmtId="0" fontId="2" fillId="0" borderId="1" xfId="0" applyFont="1" applyBorder="1" applyAlignment="1">
      <alignment horizontal="center"/>
    </xf>
    <xf numFmtId="0" fontId="3" fillId="2" borderId="0" xfId="0" applyFont="1" applyFill="1" applyAlignment="1">
      <alignment horizontal="center" wrapText="1"/>
    </xf>
    <xf numFmtId="0" fontId="6" fillId="4" borderId="4" xfId="0" applyFont="1" applyFill="1" applyBorder="1"/>
    <xf numFmtId="0" fontId="4" fillId="3" borderId="3" xfId="0" applyFont="1" applyFill="1" applyBorder="1" applyAlignment="1">
      <alignment vertical="center" wrapText="1"/>
    </xf>
    <xf numFmtId="0" fontId="6" fillId="4" borderId="0" xfId="0" applyFont="1" applyFill="1" applyAlignment="1">
      <alignment horizontal="center" vertical="top"/>
    </xf>
    <xf numFmtId="0" fontId="6" fillId="4" borderId="4" xfId="0" applyFont="1" applyFill="1" applyBorder="1" applyAlignment="1">
      <alignment horizontal="center"/>
    </xf>
    <xf numFmtId="0" fontId="4" fillId="3" borderId="1" xfId="0" applyFont="1" applyFill="1" applyBorder="1" applyAlignment="1">
      <alignment vertical="center" wrapText="1"/>
    </xf>
    <xf numFmtId="0" fontId="5" fillId="0" borderId="0" xfId="0" applyFont="1"/>
    <xf numFmtId="0" fontId="6" fillId="5" borderId="0" xfId="0" applyFont="1" applyFill="1" applyAlignment="1">
      <alignment horizontal="center" vertical="top"/>
    </xf>
    <xf numFmtId="0" fontId="8" fillId="0" borderId="0" xfId="0" applyFont="1" applyAlignment="1">
      <alignment vertical="top" wrapText="1"/>
    </xf>
    <xf numFmtId="0" fontId="2" fillId="0" borderId="1" xfId="0" applyFont="1" applyBorder="1"/>
    <xf numFmtId="0" fontId="2" fillId="0" borderId="2" xfId="0" applyFont="1" applyBorder="1" applyAlignment="1">
      <alignment horizontal="center" vertical="top"/>
    </xf>
    <xf numFmtId="164" fontId="8" fillId="0" borderId="7" xfId="0" applyNumberFormat="1" applyFont="1" applyBorder="1" applyAlignment="1">
      <alignment vertical="top"/>
    </xf>
    <xf numFmtId="0" fontId="2" fillId="0" borderId="1" xfId="0" applyFont="1" applyBorder="1" applyAlignment="1">
      <alignment horizontal="center" vertical="top"/>
    </xf>
    <xf numFmtId="0" fontId="8" fillId="0" borderId="7" xfId="0" applyFont="1" applyBorder="1" applyAlignment="1">
      <alignment vertical="top"/>
    </xf>
    <xf numFmtId="0" fontId="6" fillId="0" borderId="0" xfId="0" applyFont="1"/>
    <xf numFmtId="0" fontId="6" fillId="0" borderId="0" xfId="0" applyFont="1" applyAlignment="1">
      <alignment horizontal="center"/>
    </xf>
    <xf numFmtId="0" fontId="8" fillId="0" borderId="7" xfId="0" applyFont="1" applyBorder="1" applyAlignment="1">
      <alignment horizontal="right" vertical="top"/>
    </xf>
    <xf numFmtId="0" fontId="8" fillId="0" borderId="7" xfId="0" applyFont="1" applyBorder="1" applyAlignment="1">
      <alignment horizontal="left" vertical="top"/>
    </xf>
    <xf numFmtId="0" fontId="4" fillId="8" borderId="1" xfId="0" applyFont="1" applyFill="1" applyBorder="1" applyAlignment="1">
      <alignment vertical="center" wrapText="1"/>
    </xf>
    <xf numFmtId="0" fontId="8" fillId="0" borderId="0" xfId="0" applyFont="1" applyAlignment="1">
      <alignment vertical="top"/>
    </xf>
    <xf numFmtId="0" fontId="8" fillId="0" borderId="0" xfId="0" applyFont="1" applyAlignment="1">
      <alignment horizontal="right" vertical="top"/>
    </xf>
    <xf numFmtId="0" fontId="4" fillId="9" borderId="3" xfId="0" applyFont="1" applyFill="1" applyBorder="1" applyAlignment="1">
      <alignment vertical="center" wrapText="1"/>
    </xf>
    <xf numFmtId="0" fontId="4" fillId="9" borderId="1" xfId="0" applyFont="1" applyFill="1" applyBorder="1" applyAlignment="1">
      <alignment vertical="center" wrapText="1"/>
    </xf>
    <xf numFmtId="0" fontId="4" fillId="10" borderId="3" xfId="0" applyFont="1" applyFill="1" applyBorder="1" applyAlignment="1">
      <alignment vertical="center" wrapText="1"/>
    </xf>
    <xf numFmtId="0" fontId="4" fillId="10" borderId="1" xfId="0" applyFont="1" applyFill="1" applyBorder="1" applyAlignment="1">
      <alignment vertical="center" wrapText="1"/>
    </xf>
    <xf numFmtId="0" fontId="4" fillId="11" borderId="3" xfId="0" applyFont="1" applyFill="1" applyBorder="1" applyAlignment="1">
      <alignment vertical="center" wrapText="1"/>
    </xf>
    <xf numFmtId="0" fontId="4" fillId="11" borderId="1" xfId="0" applyFont="1" applyFill="1" applyBorder="1" applyAlignment="1">
      <alignment vertical="center" wrapText="1"/>
    </xf>
    <xf numFmtId="0" fontId="4" fillId="12" borderId="3" xfId="0" applyFont="1" applyFill="1" applyBorder="1" applyAlignment="1">
      <alignment vertical="center" wrapText="1"/>
    </xf>
    <xf numFmtId="0" fontId="4" fillId="12" borderId="1" xfId="0" applyFont="1" applyFill="1" applyBorder="1" applyAlignment="1">
      <alignment vertical="center" wrapText="1"/>
    </xf>
    <xf numFmtId="0" fontId="4" fillId="13" borderId="3" xfId="0" applyFont="1" applyFill="1" applyBorder="1" applyAlignment="1">
      <alignment vertical="center" wrapText="1"/>
    </xf>
    <xf numFmtId="0" fontId="4" fillId="13" borderId="1" xfId="0" applyFont="1" applyFill="1" applyBorder="1" applyAlignment="1">
      <alignment vertical="center" wrapText="1"/>
    </xf>
    <xf numFmtId="0" fontId="4" fillId="14" borderId="8" xfId="0" applyFont="1" applyFill="1" applyBorder="1" applyAlignment="1">
      <alignment vertical="center" wrapText="1"/>
    </xf>
    <xf numFmtId="0" fontId="4" fillId="14" borderId="9" xfId="0" applyFont="1" applyFill="1" applyBorder="1" applyAlignment="1">
      <alignment vertical="center" wrapText="1"/>
    </xf>
    <xf numFmtId="0" fontId="5" fillId="0" borderId="0" xfId="0" applyFont="1" applyAlignment="1">
      <alignment horizontal="right"/>
    </xf>
    <xf numFmtId="0" fontId="8" fillId="0" borderId="0" xfId="0" applyFont="1"/>
    <xf numFmtId="0" fontId="8" fillId="0" borderId="0" xfId="0" applyFont="1" applyAlignment="1">
      <alignment horizontal="right"/>
    </xf>
    <xf numFmtId="0" fontId="4" fillId="8" borderId="3" xfId="0" applyFont="1" applyFill="1" applyBorder="1" applyAlignment="1">
      <alignment vertical="center" wrapText="1"/>
    </xf>
    <xf numFmtId="0" fontId="0" fillId="0" borderId="0" xfId="0"/>
    <xf numFmtId="0" fontId="13" fillId="0" borderId="0" xfId="0" applyFont="1"/>
    <xf numFmtId="0" fontId="14" fillId="0" borderId="0" xfId="0" applyFont="1"/>
    <xf numFmtId="0" fontId="15" fillId="0" borderId="0" xfId="0" applyFont="1"/>
    <xf numFmtId="165" fontId="14" fillId="0" borderId="0" xfId="0" applyNumberFormat="1" applyFont="1"/>
    <xf numFmtId="0" fontId="16" fillId="0" borderId="0" xfId="0" applyFont="1"/>
    <xf numFmtId="0" fontId="9" fillId="0" borderId="0" xfId="0" applyFont="1"/>
    <xf numFmtId="0" fontId="17" fillId="0" borderId="0" xfId="0" applyFont="1"/>
    <xf numFmtId="0" fontId="4" fillId="3" borderId="3" xfId="0" applyFont="1" applyFill="1" applyBorder="1" applyAlignment="1">
      <alignment horizontal="left" vertical="center" wrapText="1"/>
    </xf>
    <xf numFmtId="0" fontId="5" fillId="0" borderId="3" xfId="0" applyFont="1" applyBorder="1"/>
    <xf numFmtId="0" fontId="7" fillId="3" borderId="5" xfId="0" applyFont="1" applyFill="1" applyBorder="1" applyAlignment="1">
      <alignment vertical="center"/>
    </xf>
    <xf numFmtId="0" fontId="5" fillId="0" borderId="2" xfId="0" applyFont="1" applyBorder="1"/>
    <xf numFmtId="0" fontId="5" fillId="0" borderId="6" xfId="0" applyFont="1" applyBorder="1"/>
    <xf numFmtId="0" fontId="4" fillId="8" borderId="3" xfId="0" applyFont="1" applyFill="1" applyBorder="1" applyAlignment="1">
      <alignment vertical="center" wrapText="1"/>
    </xf>
    <xf numFmtId="0" fontId="7" fillId="8" borderId="5" xfId="0" applyFont="1" applyFill="1" applyBorder="1" applyAlignment="1">
      <alignment vertical="center"/>
    </xf>
    <xf numFmtId="0" fontId="4" fillId="9" borderId="5" xfId="0" applyFont="1" applyFill="1" applyBorder="1" applyAlignment="1">
      <alignment vertical="center" wrapText="1"/>
    </xf>
    <xf numFmtId="0" fontId="7" fillId="9" borderId="5" xfId="0" applyFont="1" applyFill="1" applyBorder="1" applyAlignment="1">
      <alignment vertical="center"/>
    </xf>
    <xf numFmtId="0" fontId="4" fillId="10" borderId="5" xfId="0" applyFont="1" applyFill="1" applyBorder="1" applyAlignment="1">
      <alignment vertical="center" wrapText="1"/>
    </xf>
    <xf numFmtId="0" fontId="7" fillId="10" borderId="5" xfId="0" applyFont="1" applyFill="1" applyBorder="1" applyAlignment="1">
      <alignment vertical="center"/>
    </xf>
    <xf numFmtId="0" fontId="4" fillId="11" borderId="5" xfId="0" applyFont="1" applyFill="1" applyBorder="1" applyAlignment="1">
      <alignment vertical="center" wrapText="1"/>
    </xf>
    <xf numFmtId="0" fontId="7" fillId="11" borderId="5" xfId="0" applyFont="1" applyFill="1" applyBorder="1" applyAlignment="1">
      <alignment vertical="center"/>
    </xf>
    <xf numFmtId="0" fontId="7" fillId="11" borderId="2" xfId="0" applyFont="1" applyFill="1" applyBorder="1" applyAlignment="1">
      <alignment vertical="center"/>
    </xf>
    <xf numFmtId="0" fontId="7" fillId="11" borderId="6" xfId="0" applyFont="1" applyFill="1" applyBorder="1" applyAlignment="1">
      <alignment vertical="center"/>
    </xf>
    <xf numFmtId="0" fontId="4" fillId="14" borderId="5" xfId="0" applyFont="1" applyFill="1" applyBorder="1" applyAlignment="1">
      <alignment wrapText="1"/>
    </xf>
    <xf numFmtId="0" fontId="7" fillId="14" borderId="5" xfId="0" applyFont="1" applyFill="1" applyBorder="1"/>
    <xf numFmtId="0" fontId="7" fillId="14" borderId="2" xfId="0" applyFont="1" applyFill="1" applyBorder="1"/>
    <xf numFmtId="0" fontId="7" fillId="14" borderId="6" xfId="0" applyFont="1" applyFill="1" applyBorder="1"/>
    <xf numFmtId="0" fontId="7" fillId="14" borderId="5" xfId="0" applyFont="1" applyFill="1" applyBorder="1" applyAlignment="1">
      <alignment vertical="center"/>
    </xf>
    <xf numFmtId="0" fontId="7" fillId="14" borderId="2" xfId="0" applyFont="1" applyFill="1" applyBorder="1" applyAlignment="1">
      <alignment vertical="center"/>
    </xf>
    <xf numFmtId="0" fontId="7" fillId="14" borderId="6" xfId="0" applyFont="1" applyFill="1" applyBorder="1" applyAlignment="1">
      <alignment vertical="center"/>
    </xf>
    <xf numFmtId="0" fontId="4" fillId="12" borderId="5" xfId="0" applyFont="1" applyFill="1" applyBorder="1" applyAlignment="1">
      <alignment vertical="center" wrapText="1"/>
    </xf>
    <xf numFmtId="0" fontId="7" fillId="12" borderId="5" xfId="0" applyFont="1" applyFill="1" applyBorder="1" applyAlignment="1">
      <alignment vertical="center"/>
    </xf>
    <xf numFmtId="0" fontId="4" fillId="13" borderId="5" xfId="0" applyFont="1" applyFill="1" applyBorder="1" applyAlignment="1">
      <alignment vertical="center" wrapText="1"/>
    </xf>
    <xf numFmtId="0" fontId="7" fillId="13" borderId="5" xfId="0" applyFont="1" applyFill="1" applyBorder="1" applyAlignment="1">
      <alignment vertical="center"/>
    </xf>
    <xf numFmtId="0" fontId="7" fillId="14" borderId="3" xfId="0" applyFont="1" applyFill="1" applyBorder="1"/>
    <xf numFmtId="0" fontId="5" fillId="0" borderId="8" xfId="0" applyFont="1" applyBorder="1"/>
    <xf numFmtId="0" fontId="7" fillId="14" borderId="3" xfId="0" applyFont="1" applyFill="1" applyBorder="1" applyAlignment="1">
      <alignment vertical="center"/>
    </xf>
    <xf numFmtId="0" fontId="10" fillId="6" borderId="0" xfId="0" applyFont="1" applyFill="1" applyAlignment="1">
      <alignment vertical="top" wrapText="1"/>
    </xf>
    <xf numFmtId="0" fontId="0" fillId="0" borderId="0" xfId="0"/>
    <xf numFmtId="0" fontId="5" fillId="7" borderId="0" xfId="0" applyFont="1" applyFill="1"/>
    <xf numFmtId="0" fontId="18" fillId="0" borderId="0" xfId="1"/>
  </cellXfs>
  <cellStyles count="2">
    <cellStyle name="Hyperlink" xfId="1" builtinId="8"/>
    <cellStyle name="Normal" xfId="0" builtinId="0"/>
  </cellStyles>
  <dxfs count="70">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
      <fill>
        <patternFill patternType="solid">
          <fgColor rgb="FFF6B26B"/>
          <bgColor rgb="FFF6B26B"/>
        </patternFill>
      </fill>
    </dxf>
    <dxf>
      <fill>
        <patternFill patternType="solid">
          <fgColor rgb="FFFFD966"/>
          <bgColor rgb="FFFFD966"/>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6B26B"/>
          <bgColor rgb="FFF6B26B"/>
        </patternFill>
      </fill>
    </dxf>
    <dxf>
      <fill>
        <patternFill patternType="solid">
          <fgColor rgb="FFFFD966"/>
          <bgColor rgb="FFFFD966"/>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
      <fill>
        <patternFill patternType="solid">
          <fgColor rgb="FFF6B26B"/>
          <bgColor rgb="FFF6B26B"/>
        </patternFill>
      </fill>
    </dxf>
    <dxf>
      <fill>
        <patternFill patternType="solid">
          <fgColor rgb="FFFFD966"/>
          <bgColor rgb="FFFFD966"/>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
      <fill>
        <patternFill patternType="solid">
          <fgColor rgb="FFF6B26B"/>
          <bgColor rgb="FFF6B26B"/>
        </patternFill>
      </fill>
    </dxf>
    <dxf>
      <fill>
        <patternFill patternType="solid">
          <fgColor rgb="FFFFD966"/>
          <bgColor rgb="FFFFD966"/>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VladislavStoimenov235030/Vladislav_Stoimenov_Graduation_Project_25_26/blob/1dd517d4c198e0e7c256fdd5edfa65bfef27918c/scripts/create_rdd2022_4classes_small.py" TargetMode="External"/><Relationship Id="rId13" Type="http://schemas.openxmlformats.org/officeDocument/2006/relationships/hyperlink" Target="https://github.com/VladislavStoimenov235030/Vladislav_Stoimenov_Graduation_Project_25_26/blob/1dd517d4c198e0e7c256fdd5edfa65bfef27918c/notebooks/03_first_yolo_training_sample_dataset.ipynb" TargetMode="External"/><Relationship Id="rId18" Type="http://schemas.openxmlformats.org/officeDocument/2006/relationships/printerSettings" Target="../printerSettings/printerSettings1.bin"/><Relationship Id="rId3" Type="http://schemas.openxmlformats.org/officeDocument/2006/relationships/hyperlink" Target="https://github.com/VladislavStoimenov235030/Vladislav_Stoimenov_Graduation_Project_25_26/blob/1dd517d4c198e0e7c256fdd5edfa65bfef27918c/thesis/thesis%20writing/thesis_template/references.bib" TargetMode="External"/><Relationship Id="rId7" Type="http://schemas.openxmlformats.org/officeDocument/2006/relationships/hyperlink" Target="https://github.com/VladislavStoimenov235030/Vladislav_Stoimenov_Graduation_Project_25_26/blob/1dd517d4c198e0e7c256fdd5edfa65bfef27918c/notebooks/01_explore_rdd2022.ipynb" TargetMode="External"/><Relationship Id="rId12" Type="http://schemas.openxmlformats.org/officeDocument/2006/relationships/hyperlink" Target="https://github.com/VladislavStoimenov235030/Vladislav_Stoimenov_Graduation_Project_25_26/tree/1dd517d4c198e0e7c256fdd5edfa65bfef27918c/scripts" TargetMode="External"/><Relationship Id="rId17" Type="http://schemas.openxmlformats.org/officeDocument/2006/relationships/hyperlink" Target="https://github.com/VladislavStoimenov235030/Vladislav_Stoimenov_Graduation_Project_25_26/blob/1dd517d4c198e0e7c256fdd5edfa65bfef27918c/notebooks/07_fasterrcnn_small_dataset.ipynb" TargetMode="External"/><Relationship Id="rId2" Type="http://schemas.openxmlformats.org/officeDocument/2006/relationships/hyperlink" Target="https://github.com/VladislavStoimenov235030/Vladislav_Stoimenov_Graduation_Project_25_26/blob/1dd517d4c198e0e7c256fdd5edfa65bfef27918c/requirements.txt" TargetMode="External"/><Relationship Id="rId16" Type="http://schemas.openxmlformats.org/officeDocument/2006/relationships/hyperlink" Target="https://github.com/VladislavStoimenov235030/Vladislav_Stoimenov_Graduation_Project_25_26/blob/1dd517d4c198e0e7c256fdd5edfa65bfef27918c/notebooks/03_first_yolo_training_sample_dataset.ipynb" TargetMode="External"/><Relationship Id="rId1" Type="http://schemas.openxmlformats.org/officeDocument/2006/relationships/hyperlink" Target="https://github.com/VladislavStoimenov235030/Vladislav_Stoimenov_Graduation_Project_25_26.git" TargetMode="External"/><Relationship Id="rId6" Type="http://schemas.openxmlformats.org/officeDocument/2006/relationships/hyperlink" Target="https://github.com/VladislavStoimenov235030/Vladislav_Stoimenov_Graduation_Project_25_26/blob/1dd517d4c198e0e7c256fdd5edfa65bfef27918c/thesis/Thesis_Vladislav_Stoimenov.pdf" TargetMode="External"/><Relationship Id="rId11" Type="http://schemas.openxmlformats.org/officeDocument/2006/relationships/hyperlink" Target="https://github.com/VladislavStoimenov235030/Vladislav_Stoimenov_Graduation_Project_25_26/tree/1dd517d4c198e0e7c256fdd5edfa65bfef27918c/data" TargetMode="External"/><Relationship Id="rId5" Type="http://schemas.openxmlformats.org/officeDocument/2006/relationships/hyperlink" Target="https://github.com/VladislavStoimenov235030/Vladislav_Stoimenov_Graduation_Project_25_26/blob/1dd517d4c198e0e7c256fdd5edfa65bfef27918c/thesis/Thesis_Vladislav_Stoimenov.pdf" TargetMode="External"/><Relationship Id="rId15" Type="http://schemas.openxmlformats.org/officeDocument/2006/relationships/hyperlink" Target="https://github.com/VladislavStoimenov235030/Vladislav_Stoimenov_Graduation_Project_25_26/blob/1dd517d4c198e0e7c256fdd5edfa65bfef27918c/notebooks/07_fasterrcnn_small_dataset.ipynb" TargetMode="External"/><Relationship Id="rId10" Type="http://schemas.openxmlformats.org/officeDocument/2006/relationships/hyperlink" Target="https://github.com/VladislavStoimenov235030/Vladislav_Stoimenov_Graduation_Project_25_26/tree/1dd517d4c198e0e7c256fdd5edfa65bfef27918c/data" TargetMode="External"/><Relationship Id="rId4" Type="http://schemas.openxmlformats.org/officeDocument/2006/relationships/hyperlink" Target="https://github.com/VladislavStoimenov235030/Vladislav_Stoimenov_Graduation_Project_25_26/blob/1dd517d4c198e0e7c256fdd5edfa65bfef27918c/thesis/thesis%20writing/thesis_template/references.bib" TargetMode="External"/><Relationship Id="rId9" Type="http://schemas.openxmlformats.org/officeDocument/2006/relationships/hyperlink" Target="https://github.com/VladislavStoimenov235030/Vladislav_Stoimenov_Graduation_Project_25_26/blob/1dd517d4c198e0e7c256fdd5edfa65bfef27918c/scripts/create_rdd2022_4classes_small.py" TargetMode="External"/><Relationship Id="rId14" Type="http://schemas.openxmlformats.org/officeDocument/2006/relationships/hyperlink" Target="https://github.com/VladislavStoimenov235030/Vladislav_Stoimenov_Graduation_Project_25_26/blob/1dd517d4c198e0e7c256fdd5edfa65bfef27918c/notebooks/03_first_yolo_training_sample_dataset.ipyn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K287"/>
  <sheetViews>
    <sheetView tabSelected="1" zoomScale="140" zoomScaleNormal="140" workbookViewId="0">
      <pane ySplit="1" topLeftCell="A17" activePane="bottomLeft" state="frozen"/>
      <selection pane="bottomLeft" activeCell="J37" sqref="A37:J37"/>
    </sheetView>
  </sheetViews>
  <sheetFormatPr defaultColWidth="14.42578125" defaultRowHeight="15" customHeight="1" x14ac:dyDescent="0.2"/>
  <cols>
    <col min="1" max="1" width="9.85546875" customWidth="1"/>
    <col min="2" max="2" width="11.28515625" customWidth="1"/>
    <col min="3" max="3" width="16.28515625" customWidth="1"/>
    <col min="4" max="4" width="43.42578125" customWidth="1"/>
    <col min="5" max="6" width="15.42578125" customWidth="1"/>
    <col min="7" max="7" width="8.85546875" customWidth="1"/>
    <col min="8" max="8" width="8.42578125" customWidth="1"/>
    <col min="9" max="9" width="6.42578125" customWidth="1"/>
    <col min="10" max="10" width="18.42578125" customWidth="1"/>
    <col min="11" max="11" width="81.28515625" customWidth="1"/>
  </cols>
  <sheetData>
    <row r="1" spans="1:11" ht="24" x14ac:dyDescent="0.2">
      <c r="A1" s="3" t="s">
        <v>0</v>
      </c>
      <c r="B1" s="3" t="s">
        <v>1</v>
      </c>
      <c r="C1" s="3" t="s">
        <v>2</v>
      </c>
      <c r="D1" s="3" t="s">
        <v>3</v>
      </c>
      <c r="E1" s="5" t="s">
        <v>4</v>
      </c>
      <c r="F1" s="5" t="s">
        <v>5</v>
      </c>
      <c r="G1" s="5" t="s">
        <v>6</v>
      </c>
      <c r="H1" s="5" t="s">
        <v>7</v>
      </c>
      <c r="I1" s="5" t="s">
        <v>8</v>
      </c>
      <c r="J1" s="5" t="s">
        <v>9</v>
      </c>
      <c r="K1" s="3" t="s">
        <v>10</v>
      </c>
    </row>
    <row r="2" spans="1:11" ht="18.75" customHeight="1" x14ac:dyDescent="0.2">
      <c r="A2" s="50" t="s">
        <v>11</v>
      </c>
      <c r="B2" s="51"/>
      <c r="C2" s="51"/>
      <c r="D2" s="51"/>
      <c r="E2" s="51"/>
      <c r="F2" s="51"/>
      <c r="G2" s="51"/>
      <c r="H2" s="51"/>
      <c r="I2" s="51"/>
      <c r="J2" s="51"/>
      <c r="K2" s="51"/>
    </row>
    <row r="3" spans="1:11" ht="12.75" x14ac:dyDescent="0.2">
      <c r="A3" s="7" t="s">
        <v>12</v>
      </c>
      <c r="B3" s="52" t="s">
        <v>117</v>
      </c>
      <c r="C3" s="53"/>
      <c r="D3" s="53"/>
      <c r="E3" s="53"/>
      <c r="F3" s="53"/>
      <c r="G3" s="53"/>
      <c r="H3" s="53"/>
      <c r="I3" s="53"/>
      <c r="J3" s="53"/>
      <c r="K3" s="54"/>
    </row>
    <row r="4" spans="1:11" ht="27.75" customHeight="1" x14ac:dyDescent="0.2">
      <c r="A4" s="10" t="s">
        <v>13</v>
      </c>
      <c r="B4" s="52" t="s">
        <v>118</v>
      </c>
      <c r="C4" s="53"/>
      <c r="D4" s="53"/>
      <c r="E4" s="53"/>
      <c r="F4" s="53"/>
      <c r="G4" s="53"/>
      <c r="H4" s="53"/>
      <c r="I4" s="53"/>
      <c r="J4" s="53"/>
      <c r="K4" s="54"/>
    </row>
    <row r="5" spans="1:11" ht="12.75" x14ac:dyDescent="0.2">
      <c r="A5" s="46">
        <v>46125</v>
      </c>
      <c r="B5" s="24" t="s">
        <v>59</v>
      </c>
      <c r="C5" s="43" t="s">
        <v>79</v>
      </c>
      <c r="D5" s="44" t="s">
        <v>80</v>
      </c>
      <c r="E5" s="44" t="s">
        <v>54</v>
      </c>
      <c r="F5" s="44" t="s">
        <v>61</v>
      </c>
      <c r="G5" s="44">
        <v>2</v>
      </c>
      <c r="H5" s="44">
        <v>2</v>
      </c>
      <c r="I5" s="44">
        <f t="shared" ref="I5:I13" si="0">H5-G5</f>
        <v>0</v>
      </c>
      <c r="J5" s="82" t="s">
        <v>81</v>
      </c>
      <c r="K5" s="24"/>
    </row>
    <row r="6" spans="1:11" ht="12.75" x14ac:dyDescent="0.2">
      <c r="A6" s="46">
        <v>46125</v>
      </c>
      <c r="B6" s="24" t="s">
        <v>59</v>
      </c>
      <c r="C6" s="43" t="s">
        <v>82</v>
      </c>
      <c r="D6" s="44" t="s">
        <v>83</v>
      </c>
      <c r="E6" s="44" t="s">
        <v>54</v>
      </c>
      <c r="F6" s="44" t="s">
        <v>61</v>
      </c>
      <c r="G6" s="44">
        <v>3</v>
      </c>
      <c r="H6" s="44">
        <v>3</v>
      </c>
      <c r="I6" s="44">
        <f t="shared" si="0"/>
        <v>0</v>
      </c>
      <c r="J6" s="82" t="s">
        <v>84</v>
      </c>
      <c r="K6" s="13"/>
    </row>
    <row r="7" spans="1:11" ht="12.75" x14ac:dyDescent="0.2">
      <c r="A7" s="46">
        <v>46126</v>
      </c>
      <c r="B7" s="24" t="s">
        <v>59</v>
      </c>
      <c r="C7" s="43" t="s">
        <v>85</v>
      </c>
      <c r="D7" s="44" t="s">
        <v>86</v>
      </c>
      <c r="E7" s="44" t="s">
        <v>74</v>
      </c>
      <c r="F7" s="44" t="s">
        <v>49</v>
      </c>
      <c r="G7" s="44">
        <v>3</v>
      </c>
      <c r="H7" s="44">
        <v>3.5</v>
      </c>
      <c r="I7" s="44">
        <f t="shared" si="0"/>
        <v>0.5</v>
      </c>
      <c r="J7" s="82" t="s">
        <v>87</v>
      </c>
      <c r="K7" s="13"/>
    </row>
    <row r="8" spans="1:11" ht="12.75" x14ac:dyDescent="0.2">
      <c r="A8" s="46">
        <v>46127</v>
      </c>
      <c r="B8" s="24" t="s">
        <v>59</v>
      </c>
      <c r="C8" s="43" t="s">
        <v>88</v>
      </c>
      <c r="D8" s="44" t="s">
        <v>89</v>
      </c>
      <c r="E8" s="44" t="s">
        <v>74</v>
      </c>
      <c r="F8" s="44" t="s">
        <v>49</v>
      </c>
      <c r="G8" s="44">
        <v>3</v>
      </c>
      <c r="H8" s="44">
        <v>3</v>
      </c>
      <c r="I8" s="44">
        <f t="shared" si="0"/>
        <v>0</v>
      </c>
      <c r="J8" s="82" t="s">
        <v>87</v>
      </c>
      <c r="K8" s="13"/>
    </row>
    <row r="9" spans="1:11" ht="12.75" x14ac:dyDescent="0.2">
      <c r="A9" s="46">
        <v>46128</v>
      </c>
      <c r="B9" s="24" t="s">
        <v>59</v>
      </c>
      <c r="C9" s="43" t="s">
        <v>90</v>
      </c>
      <c r="D9" s="44" t="s">
        <v>91</v>
      </c>
      <c r="E9" s="44" t="s">
        <v>48</v>
      </c>
      <c r="F9" s="44" t="s">
        <v>52</v>
      </c>
      <c r="G9" s="44">
        <v>1.5</v>
      </c>
      <c r="H9" s="44">
        <v>1.5</v>
      </c>
      <c r="I9" s="44">
        <f t="shared" si="0"/>
        <v>0</v>
      </c>
      <c r="J9" s="82" t="s">
        <v>92</v>
      </c>
      <c r="K9" s="13"/>
    </row>
    <row r="10" spans="1:11" ht="12.75" x14ac:dyDescent="0.2">
      <c r="A10" s="46">
        <v>46128</v>
      </c>
      <c r="B10" s="24" t="s">
        <v>59</v>
      </c>
      <c r="C10" s="43" t="s">
        <v>93</v>
      </c>
      <c r="D10" s="44" t="s">
        <v>94</v>
      </c>
      <c r="E10" s="44" t="s">
        <v>48</v>
      </c>
      <c r="F10" s="44" t="s">
        <v>52</v>
      </c>
      <c r="G10" s="44">
        <v>1</v>
      </c>
      <c r="H10" s="44">
        <v>1</v>
      </c>
      <c r="I10" s="44">
        <f t="shared" si="0"/>
        <v>0</v>
      </c>
      <c r="J10" s="82" t="s">
        <v>92</v>
      </c>
      <c r="K10" s="13"/>
    </row>
    <row r="11" spans="1:11" s="42" customFormat="1" ht="12.75" x14ac:dyDescent="0.2">
      <c r="A11" s="46">
        <v>46128</v>
      </c>
      <c r="B11" s="24" t="s">
        <v>59</v>
      </c>
      <c r="C11" s="48" t="s">
        <v>497</v>
      </c>
      <c r="D11" s="44" t="s">
        <v>498</v>
      </c>
      <c r="E11" s="39" t="s">
        <v>66</v>
      </c>
      <c r="F11" s="44" t="s">
        <v>75</v>
      </c>
      <c r="G11" s="44">
        <v>0.5</v>
      </c>
      <c r="H11" s="44">
        <v>0.5</v>
      </c>
      <c r="I11" s="44">
        <f t="shared" si="0"/>
        <v>0</v>
      </c>
      <c r="J11" s="44"/>
      <c r="K11" s="13"/>
    </row>
    <row r="12" spans="1:11" ht="12.75" x14ac:dyDescent="0.2">
      <c r="A12" s="46">
        <v>46129</v>
      </c>
      <c r="B12" s="24" t="s">
        <v>59</v>
      </c>
      <c r="C12" s="43" t="s">
        <v>95</v>
      </c>
      <c r="D12" s="44" t="s">
        <v>96</v>
      </c>
      <c r="E12" s="44" t="s">
        <v>48</v>
      </c>
      <c r="F12" s="44" t="s">
        <v>52</v>
      </c>
      <c r="G12" s="44">
        <v>2</v>
      </c>
      <c r="H12" s="44">
        <v>2</v>
      </c>
      <c r="I12" s="44">
        <f t="shared" si="0"/>
        <v>0</v>
      </c>
      <c r="J12" s="44"/>
      <c r="K12" s="13"/>
    </row>
    <row r="13" spans="1:11" ht="12.75" x14ac:dyDescent="0.2">
      <c r="A13" s="46">
        <v>46129</v>
      </c>
      <c r="B13" s="24" t="s">
        <v>59</v>
      </c>
      <c r="C13" s="43" t="s">
        <v>97</v>
      </c>
      <c r="D13" s="44" t="s">
        <v>98</v>
      </c>
      <c r="E13" s="44" t="s">
        <v>66</v>
      </c>
      <c r="F13" s="44" t="s">
        <v>64</v>
      </c>
      <c r="G13" s="44">
        <v>2</v>
      </c>
      <c r="H13" s="44">
        <v>2</v>
      </c>
      <c r="I13" s="44">
        <f t="shared" si="0"/>
        <v>0</v>
      </c>
      <c r="J13" s="44"/>
      <c r="K13" s="13"/>
    </row>
    <row r="14" spans="1:11" ht="12.75" x14ac:dyDescent="0.2">
      <c r="A14" s="16"/>
      <c r="B14" s="18"/>
      <c r="C14" s="18"/>
      <c r="D14" s="18"/>
      <c r="E14" s="18" t="s">
        <v>14</v>
      </c>
      <c r="F14" s="18"/>
      <c r="G14" s="21">
        <f>SUM(G5:G13)</f>
        <v>18</v>
      </c>
      <c r="H14" s="21">
        <f>SUM(H5:H13)</f>
        <v>18.5</v>
      </c>
      <c r="I14" s="21">
        <f t="shared" ref="I14" si="1">H14-G14</f>
        <v>0.5</v>
      </c>
      <c r="J14" s="22"/>
      <c r="K14" s="18"/>
    </row>
    <row r="15" spans="1:11" ht="18.75" customHeight="1" x14ac:dyDescent="0.2">
      <c r="A15" s="55" t="s">
        <v>15</v>
      </c>
      <c r="B15" s="51"/>
      <c r="C15" s="51"/>
      <c r="D15" s="51"/>
      <c r="E15" s="51"/>
      <c r="F15" s="51"/>
      <c r="G15" s="51"/>
      <c r="H15" s="51"/>
      <c r="I15" s="51"/>
      <c r="J15" s="51"/>
      <c r="K15" s="51"/>
    </row>
    <row r="16" spans="1:11" ht="12.75" x14ac:dyDescent="0.2">
      <c r="A16" s="41" t="s">
        <v>12</v>
      </c>
      <c r="B16" s="56" t="s">
        <v>119</v>
      </c>
      <c r="C16" s="53"/>
      <c r="D16" s="53"/>
      <c r="E16" s="53"/>
      <c r="F16" s="53"/>
      <c r="G16" s="53"/>
      <c r="H16" s="53"/>
      <c r="I16" s="53"/>
      <c r="J16" s="53"/>
      <c r="K16" s="54"/>
    </row>
    <row r="17" spans="1:11" ht="27.75" customHeight="1" x14ac:dyDescent="0.2">
      <c r="A17" s="23" t="s">
        <v>13</v>
      </c>
      <c r="B17" s="56" t="s">
        <v>120</v>
      </c>
      <c r="C17" s="53"/>
      <c r="D17" s="53"/>
      <c r="E17" s="53"/>
      <c r="F17" s="53"/>
      <c r="G17" s="53"/>
      <c r="H17" s="53"/>
      <c r="I17" s="53"/>
      <c r="J17" s="53"/>
      <c r="K17" s="54"/>
    </row>
    <row r="18" spans="1:11" ht="12.75" x14ac:dyDescent="0.2">
      <c r="A18" s="46">
        <v>46132</v>
      </c>
      <c r="B18" s="45" t="s">
        <v>59</v>
      </c>
      <c r="C18" s="43" t="s">
        <v>99</v>
      </c>
      <c r="D18" s="44" t="s">
        <v>100</v>
      </c>
      <c r="E18" s="44" t="s">
        <v>57</v>
      </c>
      <c r="F18" s="44" t="s">
        <v>52</v>
      </c>
      <c r="G18" s="44">
        <v>3</v>
      </c>
      <c r="H18" s="44">
        <v>3</v>
      </c>
      <c r="I18" s="44">
        <f t="shared" ref="I18:I25" si="2">H18-G18</f>
        <v>0</v>
      </c>
      <c r="J18" s="82" t="s">
        <v>516</v>
      </c>
      <c r="K18" s="24"/>
    </row>
    <row r="19" spans="1:11" ht="12.75" x14ac:dyDescent="0.2">
      <c r="A19" s="46">
        <v>46132</v>
      </c>
      <c r="B19" s="45" t="s">
        <v>59</v>
      </c>
      <c r="C19" s="43" t="s">
        <v>101</v>
      </c>
      <c r="D19" s="44" t="s">
        <v>102</v>
      </c>
      <c r="E19" s="44" t="s">
        <v>57</v>
      </c>
      <c r="F19" s="44" t="s">
        <v>52</v>
      </c>
      <c r="G19" s="44">
        <v>3</v>
      </c>
      <c r="H19" s="44">
        <v>3</v>
      </c>
      <c r="I19" s="44">
        <f t="shared" si="2"/>
        <v>0</v>
      </c>
      <c r="J19" s="82" t="s">
        <v>515</v>
      </c>
      <c r="K19" s="24"/>
    </row>
    <row r="20" spans="1:11" ht="12.75" x14ac:dyDescent="0.2">
      <c r="A20" s="46">
        <v>46133</v>
      </c>
      <c r="B20" s="45" t="s">
        <v>59</v>
      </c>
      <c r="C20" s="43" t="s">
        <v>104</v>
      </c>
      <c r="D20" s="44" t="s">
        <v>105</v>
      </c>
      <c r="E20" s="44" t="s">
        <v>48</v>
      </c>
      <c r="F20" s="44" t="s">
        <v>52</v>
      </c>
      <c r="G20" s="44">
        <v>3</v>
      </c>
      <c r="H20" s="44">
        <v>3</v>
      </c>
      <c r="I20" s="44">
        <f t="shared" si="2"/>
        <v>0</v>
      </c>
      <c r="J20" s="82" t="s">
        <v>106</v>
      </c>
      <c r="K20" s="24"/>
    </row>
    <row r="21" spans="1:11" ht="12.75" x14ac:dyDescent="0.2">
      <c r="A21" s="46">
        <v>46133</v>
      </c>
      <c r="B21" s="45" t="s">
        <v>59</v>
      </c>
      <c r="C21" s="43" t="s">
        <v>107</v>
      </c>
      <c r="D21" s="44" t="s">
        <v>108</v>
      </c>
      <c r="E21" s="44" t="s">
        <v>54</v>
      </c>
      <c r="F21" s="44" t="s">
        <v>61</v>
      </c>
      <c r="G21" s="44">
        <v>3</v>
      </c>
      <c r="H21" s="44">
        <v>3</v>
      </c>
      <c r="I21" s="44">
        <f t="shared" si="2"/>
        <v>0</v>
      </c>
      <c r="J21" s="82" t="s">
        <v>106</v>
      </c>
      <c r="K21" s="24"/>
    </row>
    <row r="22" spans="1:11" ht="12.75" x14ac:dyDescent="0.2">
      <c r="A22" s="46">
        <v>46135</v>
      </c>
      <c r="B22" s="45" t="s">
        <v>59</v>
      </c>
      <c r="C22" s="43" t="s">
        <v>109</v>
      </c>
      <c r="D22" s="44" t="s">
        <v>110</v>
      </c>
      <c r="E22" s="44" t="s">
        <v>54</v>
      </c>
      <c r="F22" s="44" t="s">
        <v>52</v>
      </c>
      <c r="G22" s="44">
        <v>3</v>
      </c>
      <c r="H22" s="44">
        <v>3</v>
      </c>
      <c r="I22" s="44">
        <f t="shared" si="2"/>
        <v>0</v>
      </c>
      <c r="J22" s="82" t="s">
        <v>516</v>
      </c>
      <c r="K22" s="24"/>
    </row>
    <row r="23" spans="1:11" ht="12.75" x14ac:dyDescent="0.2">
      <c r="A23" s="46">
        <v>46135</v>
      </c>
      <c r="B23" s="45" t="s">
        <v>59</v>
      </c>
      <c r="C23" s="43" t="s">
        <v>111</v>
      </c>
      <c r="D23" s="44" t="s">
        <v>112</v>
      </c>
      <c r="E23" s="44" t="s">
        <v>60</v>
      </c>
      <c r="F23" s="44" t="s">
        <v>61</v>
      </c>
      <c r="G23" s="44">
        <v>2</v>
      </c>
      <c r="H23" s="44">
        <v>2</v>
      </c>
      <c r="I23" s="44">
        <f t="shared" si="2"/>
        <v>0</v>
      </c>
      <c r="J23" s="82" t="s">
        <v>517</v>
      </c>
      <c r="K23" s="24"/>
    </row>
    <row r="24" spans="1:11" ht="12.75" x14ac:dyDescent="0.2">
      <c r="A24" s="46">
        <v>46135</v>
      </c>
      <c r="B24" s="45" t="s">
        <v>59</v>
      </c>
      <c r="C24" s="43" t="s">
        <v>113</v>
      </c>
      <c r="D24" s="44" t="s">
        <v>114</v>
      </c>
      <c r="E24" s="44" t="s">
        <v>74</v>
      </c>
      <c r="F24" s="44" t="s">
        <v>49</v>
      </c>
      <c r="G24" s="44">
        <v>1.5</v>
      </c>
      <c r="H24" s="44">
        <v>1.5</v>
      </c>
      <c r="I24" s="44">
        <f t="shared" si="2"/>
        <v>0</v>
      </c>
      <c r="J24" s="44"/>
      <c r="K24" s="24"/>
    </row>
    <row r="25" spans="1:11" ht="12.75" x14ac:dyDescent="0.2">
      <c r="A25" s="46">
        <v>46136</v>
      </c>
      <c r="B25" s="45" t="s">
        <v>59</v>
      </c>
      <c r="C25" s="43" t="s">
        <v>115</v>
      </c>
      <c r="D25" s="44" t="s">
        <v>116</v>
      </c>
      <c r="E25" s="44" t="s">
        <v>66</v>
      </c>
      <c r="F25" s="44" t="s">
        <v>64</v>
      </c>
      <c r="G25" s="44">
        <v>1.5</v>
      </c>
      <c r="H25" s="44">
        <v>1.5</v>
      </c>
      <c r="I25" s="44">
        <f t="shared" si="2"/>
        <v>0</v>
      </c>
      <c r="J25" s="44"/>
      <c r="K25" s="24"/>
    </row>
    <row r="26" spans="1:11" ht="12.75" x14ac:dyDescent="0.2">
      <c r="A26" s="16"/>
      <c r="B26" s="18"/>
      <c r="C26" s="18"/>
      <c r="D26" s="18"/>
      <c r="E26" s="18" t="s">
        <v>14</v>
      </c>
      <c r="F26" s="18"/>
      <c r="G26" s="21">
        <f>SUM(G16:G25)</f>
        <v>20</v>
      </c>
      <c r="H26" s="21">
        <f>SUM(H16:H25)</f>
        <v>20</v>
      </c>
      <c r="I26" s="21">
        <f t="shared" ref="I26" si="3">H26-G26</f>
        <v>0</v>
      </c>
      <c r="J26" s="22"/>
      <c r="K26" s="18"/>
    </row>
    <row r="27" spans="1:11" ht="18.75" customHeight="1" x14ac:dyDescent="0.2">
      <c r="A27" s="57" t="s">
        <v>16</v>
      </c>
      <c r="B27" s="53"/>
      <c r="C27" s="53"/>
      <c r="D27" s="53"/>
      <c r="E27" s="53"/>
      <c r="F27" s="53"/>
      <c r="G27" s="53"/>
      <c r="H27" s="53"/>
      <c r="I27" s="53"/>
      <c r="J27" s="53"/>
      <c r="K27" s="54"/>
    </row>
    <row r="28" spans="1:11" ht="12.75" x14ac:dyDescent="0.2">
      <c r="A28" s="26" t="s">
        <v>12</v>
      </c>
      <c r="B28" s="58" t="s">
        <v>140</v>
      </c>
      <c r="C28" s="53"/>
      <c r="D28" s="53"/>
      <c r="E28" s="53"/>
      <c r="F28" s="53"/>
      <c r="G28" s="53"/>
      <c r="H28" s="53"/>
      <c r="I28" s="53"/>
      <c r="J28" s="53"/>
      <c r="K28" s="54"/>
    </row>
    <row r="29" spans="1:11" ht="27.75" customHeight="1" x14ac:dyDescent="0.2">
      <c r="A29" s="27" t="s">
        <v>13</v>
      </c>
      <c r="B29" s="58" t="s">
        <v>141</v>
      </c>
      <c r="C29" s="53"/>
      <c r="D29" s="53"/>
      <c r="E29" s="53"/>
      <c r="F29" s="53"/>
      <c r="G29" s="53"/>
      <c r="H29" s="53"/>
      <c r="I29" s="53"/>
      <c r="J29" s="53"/>
      <c r="K29" s="54"/>
    </row>
    <row r="30" spans="1:11" ht="12.75" x14ac:dyDescent="0.2">
      <c r="A30" s="46">
        <v>46139</v>
      </c>
      <c r="B30" s="45" t="s">
        <v>59</v>
      </c>
      <c r="C30" s="43" t="s">
        <v>121</v>
      </c>
      <c r="D30" s="44" t="s">
        <v>122</v>
      </c>
      <c r="E30" s="44" t="s">
        <v>54</v>
      </c>
      <c r="F30" s="44" t="s">
        <v>61</v>
      </c>
      <c r="G30" s="44">
        <v>2</v>
      </c>
      <c r="H30" s="44">
        <v>2</v>
      </c>
      <c r="I30" s="44">
        <f t="shared" ref="I30:I37" si="4">H30-G30</f>
        <v>0</v>
      </c>
      <c r="J30" s="82" t="s">
        <v>518</v>
      </c>
      <c r="K30" s="24"/>
    </row>
    <row r="31" spans="1:11" ht="12.75" x14ac:dyDescent="0.2">
      <c r="A31" s="46">
        <v>46139</v>
      </c>
      <c r="B31" s="45" t="s">
        <v>59</v>
      </c>
      <c r="C31" s="43" t="s">
        <v>123</v>
      </c>
      <c r="D31" s="44" t="s">
        <v>124</v>
      </c>
      <c r="E31" s="44" t="s">
        <v>54</v>
      </c>
      <c r="F31" s="44" t="s">
        <v>61</v>
      </c>
      <c r="G31" s="44">
        <v>3</v>
      </c>
      <c r="H31" s="44">
        <v>3</v>
      </c>
      <c r="I31" s="44">
        <f t="shared" si="4"/>
        <v>0</v>
      </c>
      <c r="J31" s="82" t="s">
        <v>518</v>
      </c>
      <c r="K31" s="24"/>
    </row>
    <row r="32" spans="1:11" ht="12.75" x14ac:dyDescent="0.2">
      <c r="A32" s="46">
        <v>46140</v>
      </c>
      <c r="B32" s="45" t="s">
        <v>59</v>
      </c>
      <c r="C32" s="43" t="s">
        <v>125</v>
      </c>
      <c r="D32" s="44" t="s">
        <v>126</v>
      </c>
      <c r="E32" s="44" t="s">
        <v>70</v>
      </c>
      <c r="F32" s="44" t="s">
        <v>127</v>
      </c>
      <c r="G32" s="44">
        <v>2</v>
      </c>
      <c r="H32" s="44">
        <v>2.5</v>
      </c>
      <c r="I32" s="44">
        <f t="shared" si="4"/>
        <v>0.5</v>
      </c>
      <c r="J32" s="82" t="s">
        <v>519</v>
      </c>
      <c r="K32" s="24"/>
    </row>
    <row r="33" spans="1:11" ht="12.75" x14ac:dyDescent="0.2">
      <c r="A33" s="46">
        <v>46140</v>
      </c>
      <c r="B33" s="45" t="s">
        <v>59</v>
      </c>
      <c r="C33" s="43" t="s">
        <v>128</v>
      </c>
      <c r="D33" s="44" t="s">
        <v>129</v>
      </c>
      <c r="E33" s="44" t="s">
        <v>54</v>
      </c>
      <c r="F33" s="44" t="s">
        <v>52</v>
      </c>
      <c r="G33" s="44">
        <v>3</v>
      </c>
      <c r="H33" s="44">
        <v>3</v>
      </c>
      <c r="I33" s="44">
        <f t="shared" si="4"/>
        <v>0</v>
      </c>
      <c r="J33" s="82" t="s">
        <v>518</v>
      </c>
      <c r="K33" s="24"/>
    </row>
    <row r="34" spans="1:11" ht="12.75" x14ac:dyDescent="0.2">
      <c r="A34" s="46">
        <v>46142</v>
      </c>
      <c r="B34" s="45" t="s">
        <v>59</v>
      </c>
      <c r="C34" s="43" t="s">
        <v>131</v>
      </c>
      <c r="D34" s="44" t="s">
        <v>129</v>
      </c>
      <c r="E34" s="44" t="s">
        <v>54</v>
      </c>
      <c r="F34" s="44" t="s">
        <v>52</v>
      </c>
      <c r="G34" s="44">
        <v>4</v>
      </c>
      <c r="H34" s="44">
        <v>4</v>
      </c>
      <c r="I34" s="44">
        <f t="shared" si="4"/>
        <v>0</v>
      </c>
      <c r="J34" s="82" t="s">
        <v>519</v>
      </c>
      <c r="K34" s="24"/>
    </row>
    <row r="35" spans="1:11" ht="12.75" x14ac:dyDescent="0.2">
      <c r="A35" s="46">
        <v>46142</v>
      </c>
      <c r="B35" s="45" t="s">
        <v>59</v>
      </c>
      <c r="C35" s="43" t="s">
        <v>132</v>
      </c>
      <c r="D35" s="44" t="s">
        <v>133</v>
      </c>
      <c r="E35" s="44" t="s">
        <v>60</v>
      </c>
      <c r="F35" s="44" t="s">
        <v>52</v>
      </c>
      <c r="G35" s="44">
        <v>2</v>
      </c>
      <c r="H35" s="44">
        <v>2</v>
      </c>
      <c r="I35" s="44">
        <f t="shared" si="4"/>
        <v>0</v>
      </c>
      <c r="J35" s="44" t="s">
        <v>134</v>
      </c>
      <c r="K35" s="24"/>
    </row>
    <row r="36" spans="1:11" ht="12.75" x14ac:dyDescent="0.2">
      <c r="A36" s="46">
        <v>46143</v>
      </c>
      <c r="B36" s="45" t="s">
        <v>59</v>
      </c>
      <c r="C36" s="43" t="s">
        <v>135</v>
      </c>
      <c r="D36" s="44" t="s">
        <v>136</v>
      </c>
      <c r="E36" s="44" t="s">
        <v>74</v>
      </c>
      <c r="F36" s="44" t="s">
        <v>49</v>
      </c>
      <c r="G36" s="44">
        <v>2</v>
      </c>
      <c r="H36" s="44">
        <v>2</v>
      </c>
      <c r="I36" s="44">
        <f t="shared" si="4"/>
        <v>0</v>
      </c>
      <c r="J36" s="44"/>
      <c r="K36" s="24"/>
    </row>
    <row r="37" spans="1:11" ht="12.75" x14ac:dyDescent="0.2">
      <c r="A37" s="46">
        <v>46143</v>
      </c>
      <c r="B37" s="45" t="s">
        <v>59</v>
      </c>
      <c r="C37" s="43" t="s">
        <v>137</v>
      </c>
      <c r="D37" s="44" t="s">
        <v>138</v>
      </c>
      <c r="E37" s="44" t="s">
        <v>48</v>
      </c>
      <c r="F37" s="44" t="s">
        <v>52</v>
      </c>
      <c r="G37" s="44">
        <v>2</v>
      </c>
      <c r="H37" s="44">
        <v>2</v>
      </c>
      <c r="I37" s="44">
        <f t="shared" si="4"/>
        <v>0</v>
      </c>
      <c r="J37" s="44" t="s">
        <v>139</v>
      </c>
      <c r="K37" s="24"/>
    </row>
    <row r="38" spans="1:11" ht="12.75" x14ac:dyDescent="0.2">
      <c r="A38" s="16"/>
      <c r="B38" s="18"/>
      <c r="C38" s="18"/>
      <c r="D38" s="18"/>
      <c r="E38" s="18" t="s">
        <v>14</v>
      </c>
      <c r="F38" s="18"/>
      <c r="G38" s="21">
        <f>SUM(G30:G37)</f>
        <v>20</v>
      </c>
      <c r="H38" s="21">
        <f>SUM(H30:H37)</f>
        <v>20.5</v>
      </c>
      <c r="I38" s="21">
        <f t="shared" ref="I38" si="5">H38-G38</f>
        <v>0.5</v>
      </c>
      <c r="J38" s="22"/>
      <c r="K38" s="18"/>
    </row>
    <row r="39" spans="1:11" ht="18.75" customHeight="1" x14ac:dyDescent="0.2">
      <c r="A39" s="59" t="s">
        <v>17</v>
      </c>
      <c r="B39" s="53"/>
      <c r="C39" s="53"/>
      <c r="D39" s="53"/>
      <c r="E39" s="53"/>
      <c r="F39" s="53"/>
      <c r="G39" s="53"/>
      <c r="H39" s="53"/>
      <c r="I39" s="53"/>
      <c r="J39" s="53"/>
      <c r="K39" s="54"/>
    </row>
    <row r="40" spans="1:11" ht="12.75" x14ac:dyDescent="0.2">
      <c r="A40" s="28" t="s">
        <v>12</v>
      </c>
      <c r="B40" s="60" t="s">
        <v>142</v>
      </c>
      <c r="C40" s="53"/>
      <c r="D40" s="53"/>
      <c r="E40" s="53"/>
      <c r="F40" s="53"/>
      <c r="G40" s="53"/>
      <c r="H40" s="53"/>
      <c r="I40" s="53"/>
      <c r="J40" s="53"/>
      <c r="K40" s="54"/>
    </row>
    <row r="41" spans="1:11" ht="27.75" customHeight="1" x14ac:dyDescent="0.2">
      <c r="A41" s="29" t="s">
        <v>13</v>
      </c>
      <c r="B41" s="60" t="s">
        <v>143</v>
      </c>
      <c r="C41" s="53"/>
      <c r="D41" s="53"/>
      <c r="E41" s="53"/>
      <c r="F41" s="53"/>
      <c r="G41" s="53"/>
      <c r="H41" s="53"/>
      <c r="I41" s="53"/>
      <c r="J41" s="53"/>
      <c r="K41" s="54"/>
    </row>
    <row r="42" spans="1:11" ht="12.75" x14ac:dyDescent="0.2">
      <c r="A42" s="46">
        <v>46146</v>
      </c>
      <c r="B42" s="45" t="s">
        <v>59</v>
      </c>
      <c r="C42" s="43" t="s">
        <v>144</v>
      </c>
      <c r="D42" s="44" t="s">
        <v>145</v>
      </c>
      <c r="E42" s="44" t="s">
        <v>48</v>
      </c>
      <c r="F42" s="44" t="s">
        <v>52</v>
      </c>
      <c r="G42" s="44">
        <v>2</v>
      </c>
      <c r="H42" s="44">
        <v>2</v>
      </c>
      <c r="I42" s="44">
        <f t="shared" ref="I42:I50" si="6">H42-G42</f>
        <v>0</v>
      </c>
      <c r="J42" s="44" t="s">
        <v>146</v>
      </c>
      <c r="K42" s="24"/>
    </row>
    <row r="43" spans="1:11" ht="12.75" x14ac:dyDescent="0.2">
      <c r="A43" s="46">
        <v>46146</v>
      </c>
      <c r="B43" s="45" t="s">
        <v>59</v>
      </c>
      <c r="C43" s="43" t="s">
        <v>147</v>
      </c>
      <c r="D43" s="44" t="s">
        <v>148</v>
      </c>
      <c r="E43" s="44" t="s">
        <v>48</v>
      </c>
      <c r="F43" s="44" t="s">
        <v>52</v>
      </c>
      <c r="G43" s="44">
        <v>3</v>
      </c>
      <c r="H43" s="44">
        <v>3</v>
      </c>
      <c r="I43" s="44">
        <f t="shared" si="6"/>
        <v>0</v>
      </c>
      <c r="J43" s="44" t="s">
        <v>146</v>
      </c>
      <c r="K43" s="24"/>
    </row>
    <row r="44" spans="1:11" ht="12.75" x14ac:dyDescent="0.2">
      <c r="A44" s="46">
        <v>46147</v>
      </c>
      <c r="B44" s="45" t="s">
        <v>59</v>
      </c>
      <c r="C44" s="43" t="s">
        <v>149</v>
      </c>
      <c r="D44" s="44" t="s">
        <v>150</v>
      </c>
      <c r="E44" s="44" t="s">
        <v>48</v>
      </c>
      <c r="F44" s="44" t="s">
        <v>52</v>
      </c>
      <c r="G44" s="44">
        <v>2</v>
      </c>
      <c r="H44" s="44">
        <v>2</v>
      </c>
      <c r="I44" s="44">
        <f t="shared" si="6"/>
        <v>0</v>
      </c>
      <c r="J44" s="44" t="s">
        <v>146</v>
      </c>
      <c r="K44" s="24"/>
    </row>
    <row r="45" spans="1:11" ht="12.75" x14ac:dyDescent="0.2">
      <c r="A45" s="46">
        <v>46147</v>
      </c>
      <c r="B45" s="45" t="s">
        <v>59</v>
      </c>
      <c r="C45" s="43" t="s">
        <v>151</v>
      </c>
      <c r="D45" s="44" t="s">
        <v>152</v>
      </c>
      <c r="E45" s="44" t="s">
        <v>57</v>
      </c>
      <c r="F45" s="44" t="s">
        <v>52</v>
      </c>
      <c r="G45" s="44">
        <v>1.5</v>
      </c>
      <c r="H45" s="44">
        <v>1.5</v>
      </c>
      <c r="I45" s="44">
        <f t="shared" si="6"/>
        <v>0</v>
      </c>
      <c r="J45" s="44" t="s">
        <v>146</v>
      </c>
      <c r="K45" s="24"/>
    </row>
    <row r="46" spans="1:11" s="42" customFormat="1" ht="12.75" x14ac:dyDescent="0.2">
      <c r="A46" s="46">
        <v>46148</v>
      </c>
      <c r="B46" s="49" t="s">
        <v>59</v>
      </c>
      <c r="C46" s="48" t="s">
        <v>499</v>
      </c>
      <c r="D46" s="44" t="s">
        <v>500</v>
      </c>
      <c r="E46" s="39" t="s">
        <v>66</v>
      </c>
      <c r="F46" s="44" t="s">
        <v>75</v>
      </c>
      <c r="G46" s="44">
        <v>0.5</v>
      </c>
      <c r="H46" s="44">
        <v>0.5</v>
      </c>
      <c r="I46" s="44">
        <f t="shared" si="6"/>
        <v>0</v>
      </c>
      <c r="J46" s="44"/>
      <c r="K46" s="24"/>
    </row>
    <row r="47" spans="1:11" ht="12.75" x14ac:dyDescent="0.2">
      <c r="A47" s="46">
        <v>46149</v>
      </c>
      <c r="B47" s="49" t="s">
        <v>59</v>
      </c>
      <c r="C47" s="43" t="s">
        <v>153</v>
      </c>
      <c r="D47" s="44" t="s">
        <v>154</v>
      </c>
      <c r="E47" s="44" t="s">
        <v>54</v>
      </c>
      <c r="F47" s="44" t="s">
        <v>61</v>
      </c>
      <c r="G47" s="44">
        <v>3</v>
      </c>
      <c r="H47" s="44">
        <v>3</v>
      </c>
      <c r="I47" s="44">
        <f t="shared" si="6"/>
        <v>0</v>
      </c>
      <c r="J47" s="44" t="s">
        <v>155</v>
      </c>
      <c r="K47" s="24"/>
    </row>
    <row r="48" spans="1:11" ht="12.75" x14ac:dyDescent="0.2">
      <c r="A48" s="46">
        <v>46149</v>
      </c>
      <c r="B48" s="45" t="s">
        <v>59</v>
      </c>
      <c r="C48" s="43" t="s">
        <v>156</v>
      </c>
      <c r="D48" s="44" t="s">
        <v>157</v>
      </c>
      <c r="E48" s="44" t="s">
        <v>54</v>
      </c>
      <c r="F48" s="44" t="s">
        <v>61</v>
      </c>
      <c r="G48" s="44">
        <v>3</v>
      </c>
      <c r="H48" s="44">
        <v>3</v>
      </c>
      <c r="I48" s="44">
        <f t="shared" si="6"/>
        <v>0</v>
      </c>
      <c r="J48" s="44" t="s">
        <v>158</v>
      </c>
      <c r="K48" s="24"/>
    </row>
    <row r="49" spans="1:11" ht="12.75" x14ac:dyDescent="0.2">
      <c r="A49" s="46">
        <v>46150</v>
      </c>
      <c r="B49" s="45" t="s">
        <v>59</v>
      </c>
      <c r="C49" s="43" t="s">
        <v>159</v>
      </c>
      <c r="D49" s="44" t="s">
        <v>160</v>
      </c>
      <c r="E49" s="44" t="s">
        <v>54</v>
      </c>
      <c r="F49" s="44" t="s">
        <v>61</v>
      </c>
      <c r="G49" s="44">
        <v>2.5</v>
      </c>
      <c r="H49" s="44">
        <v>2.5</v>
      </c>
      <c r="I49" s="44">
        <f t="shared" si="6"/>
        <v>0</v>
      </c>
      <c r="J49" s="44" t="s">
        <v>161</v>
      </c>
      <c r="K49" s="24"/>
    </row>
    <row r="50" spans="1:11" ht="12.75" x14ac:dyDescent="0.2">
      <c r="A50" s="46">
        <v>46150</v>
      </c>
      <c r="B50" s="45" t="s">
        <v>59</v>
      </c>
      <c r="C50" s="43" t="s">
        <v>162</v>
      </c>
      <c r="D50" s="44" t="s">
        <v>163</v>
      </c>
      <c r="E50" s="44" t="s">
        <v>60</v>
      </c>
      <c r="F50" s="44" t="s">
        <v>61</v>
      </c>
      <c r="G50" s="44">
        <v>2</v>
      </c>
      <c r="H50" s="44">
        <v>2</v>
      </c>
      <c r="I50" s="44">
        <f t="shared" si="6"/>
        <v>0</v>
      </c>
      <c r="J50" s="44" t="s">
        <v>158</v>
      </c>
      <c r="K50" s="24"/>
    </row>
    <row r="51" spans="1:11" ht="12.75" x14ac:dyDescent="0.2">
      <c r="A51" s="16"/>
      <c r="B51" s="18"/>
      <c r="C51" s="18"/>
      <c r="D51" s="18"/>
      <c r="E51" s="18" t="s">
        <v>14</v>
      </c>
      <c r="F51" s="18"/>
      <c r="G51" s="21">
        <f>SUM(G42:G50)</f>
        <v>19.5</v>
      </c>
      <c r="H51" s="21">
        <f>SUM(H42:H50)</f>
        <v>19.5</v>
      </c>
      <c r="I51" s="21">
        <f t="shared" ref="I51" si="7">H51-G51</f>
        <v>0</v>
      </c>
      <c r="J51" s="22"/>
      <c r="K51" s="18"/>
    </row>
    <row r="52" spans="1:11" ht="18.75" customHeight="1" x14ac:dyDescent="0.2">
      <c r="A52" s="61" t="s">
        <v>18</v>
      </c>
      <c r="B52" s="53"/>
      <c r="C52" s="53"/>
      <c r="D52" s="53"/>
      <c r="E52" s="53"/>
      <c r="F52" s="53"/>
      <c r="G52" s="53"/>
      <c r="H52" s="53"/>
      <c r="I52" s="53"/>
      <c r="J52" s="53"/>
      <c r="K52" s="54"/>
    </row>
    <row r="53" spans="1:11" ht="12.75" x14ac:dyDescent="0.2">
      <c r="A53" s="30" t="s">
        <v>12</v>
      </c>
      <c r="B53" s="62" t="s">
        <v>164</v>
      </c>
      <c r="C53" s="63"/>
      <c r="D53" s="63"/>
      <c r="E53" s="63"/>
      <c r="F53" s="63"/>
      <c r="G53" s="63"/>
      <c r="H53" s="63"/>
      <c r="I53" s="63"/>
      <c r="J53" s="63"/>
      <c r="K53" s="64"/>
    </row>
    <row r="54" spans="1:11" ht="27.75" customHeight="1" x14ac:dyDescent="0.2">
      <c r="A54" s="31" t="s">
        <v>13</v>
      </c>
      <c r="B54" s="62" t="s">
        <v>165</v>
      </c>
      <c r="C54" s="63"/>
      <c r="D54" s="63"/>
      <c r="E54" s="63"/>
      <c r="F54" s="63"/>
      <c r="G54" s="63"/>
      <c r="H54" s="63"/>
      <c r="I54" s="63"/>
      <c r="J54" s="63"/>
      <c r="K54" s="64"/>
    </row>
    <row r="55" spans="1:11" ht="12.75" x14ac:dyDescent="0.2">
      <c r="A55" s="46">
        <v>46153</v>
      </c>
      <c r="B55" s="45" t="s">
        <v>59</v>
      </c>
      <c r="C55" s="43" t="s">
        <v>166</v>
      </c>
      <c r="D55" s="44" t="s">
        <v>167</v>
      </c>
      <c r="E55" s="44" t="s">
        <v>54</v>
      </c>
      <c r="F55" s="44" t="s">
        <v>61</v>
      </c>
      <c r="G55" s="44">
        <v>2</v>
      </c>
      <c r="H55" s="44">
        <v>2</v>
      </c>
      <c r="I55" s="44">
        <f t="shared" ref="I55:I62" si="8">H55-G55</f>
        <v>0</v>
      </c>
      <c r="J55" s="44" t="s">
        <v>168</v>
      </c>
      <c r="K55" s="24"/>
    </row>
    <row r="56" spans="1:11" ht="12.75" x14ac:dyDescent="0.2">
      <c r="A56" s="46">
        <v>46153</v>
      </c>
      <c r="B56" s="45" t="s">
        <v>59</v>
      </c>
      <c r="C56" s="43" t="s">
        <v>169</v>
      </c>
      <c r="D56" s="44" t="s">
        <v>170</v>
      </c>
      <c r="E56" s="44" t="s">
        <v>54</v>
      </c>
      <c r="F56" s="44" t="s">
        <v>61</v>
      </c>
      <c r="G56" s="44">
        <v>1.5</v>
      </c>
      <c r="H56" s="44">
        <v>1.5</v>
      </c>
      <c r="I56" s="44">
        <f t="shared" si="8"/>
        <v>0</v>
      </c>
      <c r="J56" s="44" t="s">
        <v>171</v>
      </c>
      <c r="K56" s="24"/>
    </row>
    <row r="57" spans="1:11" ht="12.75" x14ac:dyDescent="0.2">
      <c r="A57" s="46">
        <v>46154</v>
      </c>
      <c r="B57" s="45" t="s">
        <v>59</v>
      </c>
      <c r="C57" s="43" t="s">
        <v>172</v>
      </c>
      <c r="D57" s="44" t="s">
        <v>173</v>
      </c>
      <c r="E57" s="44" t="s">
        <v>54</v>
      </c>
      <c r="F57" s="44" t="s">
        <v>61</v>
      </c>
      <c r="G57" s="44">
        <v>3</v>
      </c>
      <c r="H57" s="44">
        <v>3</v>
      </c>
      <c r="I57" s="44">
        <f t="shared" si="8"/>
        <v>0</v>
      </c>
      <c r="J57" s="44" t="s">
        <v>171</v>
      </c>
      <c r="K57" s="24"/>
    </row>
    <row r="58" spans="1:11" ht="12.75" x14ac:dyDescent="0.2">
      <c r="A58" s="46">
        <v>46154</v>
      </c>
      <c r="B58" s="45" t="s">
        <v>59</v>
      </c>
      <c r="C58" s="43" t="s">
        <v>174</v>
      </c>
      <c r="D58" s="44" t="s">
        <v>175</v>
      </c>
      <c r="E58" s="44" t="s">
        <v>54</v>
      </c>
      <c r="F58" s="44" t="s">
        <v>61</v>
      </c>
      <c r="G58" s="44">
        <v>3</v>
      </c>
      <c r="H58" s="44">
        <v>3</v>
      </c>
      <c r="I58" s="44">
        <f t="shared" si="8"/>
        <v>0</v>
      </c>
      <c r="J58" s="44" t="s">
        <v>176</v>
      </c>
      <c r="K58" s="24"/>
    </row>
    <row r="59" spans="1:11" ht="12.75" x14ac:dyDescent="0.2">
      <c r="A59" s="46">
        <v>46156</v>
      </c>
      <c r="B59" s="45" t="s">
        <v>59</v>
      </c>
      <c r="C59" s="43" t="s">
        <v>177</v>
      </c>
      <c r="D59" s="44" t="s">
        <v>178</v>
      </c>
      <c r="E59" s="44" t="s">
        <v>54</v>
      </c>
      <c r="F59" s="44" t="s">
        <v>61</v>
      </c>
      <c r="G59" s="44">
        <v>2.5</v>
      </c>
      <c r="H59" s="44">
        <v>2.5</v>
      </c>
      <c r="I59" s="44">
        <f t="shared" si="8"/>
        <v>0</v>
      </c>
      <c r="J59" s="44" t="s">
        <v>179</v>
      </c>
      <c r="K59" s="24"/>
    </row>
    <row r="60" spans="1:11" ht="12.75" x14ac:dyDescent="0.2">
      <c r="A60" s="46">
        <v>46156</v>
      </c>
      <c r="B60" s="45" t="s">
        <v>59</v>
      </c>
      <c r="C60" s="43" t="s">
        <v>180</v>
      </c>
      <c r="D60" s="44" t="s">
        <v>181</v>
      </c>
      <c r="E60" s="44" t="s">
        <v>60</v>
      </c>
      <c r="F60" s="44" t="s">
        <v>61</v>
      </c>
      <c r="G60" s="44">
        <v>3</v>
      </c>
      <c r="H60" s="44">
        <v>3</v>
      </c>
      <c r="I60" s="44">
        <f t="shared" si="8"/>
        <v>0</v>
      </c>
      <c r="J60" s="44" t="s">
        <v>182</v>
      </c>
      <c r="K60" s="24"/>
    </row>
    <row r="61" spans="1:11" ht="12.75" x14ac:dyDescent="0.2">
      <c r="A61" s="46">
        <v>46157</v>
      </c>
      <c r="B61" s="45" t="s">
        <v>59</v>
      </c>
      <c r="C61" s="43" t="s">
        <v>183</v>
      </c>
      <c r="D61" s="44" t="s">
        <v>184</v>
      </c>
      <c r="E61" s="44" t="s">
        <v>60</v>
      </c>
      <c r="F61" s="44" t="s">
        <v>52</v>
      </c>
      <c r="G61" s="44">
        <v>4</v>
      </c>
      <c r="H61" s="44">
        <v>4</v>
      </c>
      <c r="I61" s="44">
        <f t="shared" si="8"/>
        <v>0</v>
      </c>
      <c r="J61" s="44"/>
      <c r="K61" s="24"/>
    </row>
    <row r="62" spans="1:11" ht="12.75" x14ac:dyDescent="0.2">
      <c r="A62" s="46">
        <v>46157</v>
      </c>
      <c r="B62" s="45" t="s">
        <v>59</v>
      </c>
      <c r="C62" s="43" t="s">
        <v>185</v>
      </c>
      <c r="D62" s="44" t="s">
        <v>186</v>
      </c>
      <c r="E62" s="44" t="s">
        <v>57</v>
      </c>
      <c r="F62" s="44" t="s">
        <v>52</v>
      </c>
      <c r="G62" s="44">
        <v>2</v>
      </c>
      <c r="H62" s="44">
        <v>2</v>
      </c>
      <c r="I62" s="44">
        <f t="shared" si="8"/>
        <v>0</v>
      </c>
      <c r="J62" s="44" t="s">
        <v>155</v>
      </c>
      <c r="K62" s="24"/>
    </row>
    <row r="63" spans="1:11" ht="12.75" x14ac:dyDescent="0.2">
      <c r="A63" s="16"/>
      <c r="B63" s="18"/>
      <c r="C63" s="18"/>
      <c r="D63" s="18"/>
      <c r="E63" s="18" t="s">
        <v>14</v>
      </c>
      <c r="F63" s="18"/>
      <c r="G63" s="21">
        <f>SUM(G55:G62)</f>
        <v>21</v>
      </c>
      <c r="H63" s="21">
        <f>SUM(H55:H62)</f>
        <v>21</v>
      </c>
      <c r="I63" s="21">
        <f t="shared" ref="I63" si="9">H63-G63</f>
        <v>0</v>
      </c>
      <c r="J63" s="22"/>
      <c r="K63" s="18"/>
    </row>
    <row r="64" spans="1:11" ht="18.75" customHeight="1" x14ac:dyDescent="0.2">
      <c r="A64" s="72" t="s">
        <v>19</v>
      </c>
      <c r="B64" s="53"/>
      <c r="C64" s="53"/>
      <c r="D64" s="53"/>
      <c r="E64" s="53"/>
      <c r="F64" s="53"/>
      <c r="G64" s="53"/>
      <c r="H64" s="53"/>
      <c r="I64" s="53"/>
      <c r="J64" s="53"/>
      <c r="K64" s="54"/>
    </row>
    <row r="65" spans="1:11" ht="12.75" x14ac:dyDescent="0.2">
      <c r="A65" s="32" t="s">
        <v>12</v>
      </c>
      <c r="B65" s="73" t="s">
        <v>187</v>
      </c>
      <c r="C65" s="53"/>
      <c r="D65" s="53"/>
      <c r="E65" s="53"/>
      <c r="F65" s="53"/>
      <c r="G65" s="53"/>
      <c r="H65" s="53"/>
      <c r="I65" s="53"/>
      <c r="J65" s="53"/>
      <c r="K65" s="54"/>
    </row>
    <row r="66" spans="1:11" ht="27.75" customHeight="1" x14ac:dyDescent="0.2">
      <c r="A66" s="33" t="s">
        <v>13</v>
      </c>
      <c r="B66" s="73" t="s">
        <v>188</v>
      </c>
      <c r="C66" s="53"/>
      <c r="D66" s="53"/>
      <c r="E66" s="53"/>
      <c r="F66" s="53"/>
      <c r="G66" s="53"/>
      <c r="H66" s="53"/>
      <c r="I66" s="53"/>
      <c r="J66" s="53"/>
      <c r="K66" s="54"/>
    </row>
    <row r="67" spans="1:11" ht="12.75" x14ac:dyDescent="0.2">
      <c r="A67" s="46">
        <v>46160</v>
      </c>
      <c r="B67" s="45" t="s">
        <v>59</v>
      </c>
      <c r="C67" s="43" t="s">
        <v>189</v>
      </c>
      <c r="D67" s="44" t="s">
        <v>190</v>
      </c>
      <c r="E67" s="44" t="s">
        <v>54</v>
      </c>
      <c r="F67" s="44" t="s">
        <v>61</v>
      </c>
      <c r="G67" s="44">
        <v>2</v>
      </c>
      <c r="H67" s="44">
        <v>2</v>
      </c>
      <c r="I67" s="44">
        <f t="shared" ref="I67:I75" si="10">H67-G67</f>
        <v>0</v>
      </c>
      <c r="J67" s="44" t="s">
        <v>191</v>
      </c>
      <c r="K67" s="47"/>
    </row>
    <row r="68" spans="1:11" ht="12.75" x14ac:dyDescent="0.2">
      <c r="A68" s="46">
        <v>46160</v>
      </c>
      <c r="B68" s="45" t="s">
        <v>59</v>
      </c>
      <c r="C68" s="43" t="s">
        <v>192</v>
      </c>
      <c r="D68" s="44" t="s">
        <v>193</v>
      </c>
      <c r="E68" s="44" t="s">
        <v>54</v>
      </c>
      <c r="F68" s="44" t="s">
        <v>58</v>
      </c>
      <c r="G68" s="44">
        <v>3</v>
      </c>
      <c r="H68" s="44">
        <v>3</v>
      </c>
      <c r="I68" s="44">
        <f t="shared" si="10"/>
        <v>0</v>
      </c>
      <c r="J68" s="44" t="s">
        <v>194</v>
      </c>
      <c r="K68" s="47"/>
    </row>
    <row r="69" spans="1:11" ht="12.75" x14ac:dyDescent="0.2">
      <c r="A69" s="46">
        <v>46161</v>
      </c>
      <c r="B69" s="45" t="s">
        <v>59</v>
      </c>
      <c r="C69" s="43" t="s">
        <v>195</v>
      </c>
      <c r="D69" s="44" t="s">
        <v>196</v>
      </c>
      <c r="E69" s="44" t="s">
        <v>48</v>
      </c>
      <c r="F69" s="44" t="s">
        <v>61</v>
      </c>
      <c r="G69" s="44">
        <v>3</v>
      </c>
      <c r="H69" s="44">
        <v>3</v>
      </c>
      <c r="I69" s="44">
        <f t="shared" si="10"/>
        <v>0</v>
      </c>
      <c r="J69" s="44" t="s">
        <v>197</v>
      </c>
      <c r="K69" s="47"/>
    </row>
    <row r="70" spans="1:11" ht="12.75" x14ac:dyDescent="0.2">
      <c r="A70" s="46">
        <v>46161</v>
      </c>
      <c r="B70" s="45" t="s">
        <v>59</v>
      </c>
      <c r="C70" s="43" t="s">
        <v>198</v>
      </c>
      <c r="D70" s="44" t="s">
        <v>199</v>
      </c>
      <c r="E70" s="44" t="s">
        <v>54</v>
      </c>
      <c r="F70" s="44" t="s">
        <v>58</v>
      </c>
      <c r="G70" s="44">
        <v>2</v>
      </c>
      <c r="H70" s="44">
        <v>2</v>
      </c>
      <c r="I70" s="44">
        <f t="shared" si="10"/>
        <v>0</v>
      </c>
      <c r="J70" s="44" t="s">
        <v>200</v>
      </c>
      <c r="K70" s="47"/>
    </row>
    <row r="71" spans="1:11" s="42" customFormat="1" ht="12.75" x14ac:dyDescent="0.2">
      <c r="A71" s="46">
        <v>46160</v>
      </c>
      <c r="B71" s="49" t="s">
        <v>59</v>
      </c>
      <c r="C71" s="48" t="s">
        <v>499</v>
      </c>
      <c r="D71" s="39" t="s">
        <v>501</v>
      </c>
      <c r="E71" s="39" t="s">
        <v>66</v>
      </c>
      <c r="F71" s="39" t="s">
        <v>75</v>
      </c>
      <c r="G71" s="44">
        <v>0.5</v>
      </c>
      <c r="H71" s="44">
        <v>0.5</v>
      </c>
      <c r="I71" s="44">
        <f t="shared" si="10"/>
        <v>0</v>
      </c>
      <c r="J71" s="44"/>
      <c r="K71" s="47"/>
    </row>
    <row r="72" spans="1:11" ht="12.75" x14ac:dyDescent="0.2">
      <c r="A72" s="46">
        <v>46163</v>
      </c>
      <c r="B72" s="45" t="s">
        <v>59</v>
      </c>
      <c r="C72" s="43" t="s">
        <v>201</v>
      </c>
      <c r="D72" s="44" t="s">
        <v>202</v>
      </c>
      <c r="E72" s="44" t="s">
        <v>54</v>
      </c>
      <c r="F72" s="44" t="s">
        <v>58</v>
      </c>
      <c r="G72" s="44">
        <v>2.5</v>
      </c>
      <c r="H72" s="44">
        <v>2.5</v>
      </c>
      <c r="I72" s="44">
        <f t="shared" si="10"/>
        <v>0</v>
      </c>
      <c r="J72" s="44" t="s">
        <v>203</v>
      </c>
      <c r="K72" s="47"/>
    </row>
    <row r="73" spans="1:11" ht="12.75" x14ac:dyDescent="0.2">
      <c r="A73" s="46">
        <v>46163</v>
      </c>
      <c r="B73" s="45" t="s">
        <v>59</v>
      </c>
      <c r="C73" s="43" t="s">
        <v>204</v>
      </c>
      <c r="D73" s="44" t="s">
        <v>205</v>
      </c>
      <c r="E73" s="44" t="s">
        <v>54</v>
      </c>
      <c r="F73" s="44" t="s">
        <v>58</v>
      </c>
      <c r="G73" s="44">
        <v>2.5</v>
      </c>
      <c r="H73" s="44">
        <v>2.5</v>
      </c>
      <c r="I73" s="44">
        <f t="shared" si="10"/>
        <v>0</v>
      </c>
      <c r="J73" s="44" t="s">
        <v>206</v>
      </c>
      <c r="K73" s="47"/>
    </row>
    <row r="74" spans="1:11" ht="12.75" x14ac:dyDescent="0.2">
      <c r="A74" s="46">
        <v>46164</v>
      </c>
      <c r="B74" s="45" t="s">
        <v>59</v>
      </c>
      <c r="C74" s="43" t="s">
        <v>207</v>
      </c>
      <c r="D74" s="44" t="s">
        <v>208</v>
      </c>
      <c r="E74" s="44" t="s">
        <v>60</v>
      </c>
      <c r="F74" s="44" t="s">
        <v>61</v>
      </c>
      <c r="G74" s="44">
        <v>2.5</v>
      </c>
      <c r="H74" s="44">
        <v>2.5</v>
      </c>
      <c r="I74" s="44">
        <f t="shared" si="10"/>
        <v>0</v>
      </c>
      <c r="J74" s="44"/>
      <c r="K74" s="47" t="s">
        <v>209</v>
      </c>
    </row>
    <row r="75" spans="1:11" ht="12.75" x14ac:dyDescent="0.2">
      <c r="A75" s="46">
        <v>46164</v>
      </c>
      <c r="B75" s="45" t="s">
        <v>59</v>
      </c>
      <c r="C75" s="43" t="s">
        <v>210</v>
      </c>
      <c r="D75" s="44" t="s">
        <v>211</v>
      </c>
      <c r="E75" s="44" t="s">
        <v>70</v>
      </c>
      <c r="F75" s="44" t="s">
        <v>61</v>
      </c>
      <c r="G75" s="44">
        <v>2</v>
      </c>
      <c r="H75" s="44">
        <v>2</v>
      </c>
      <c r="I75" s="44">
        <f t="shared" si="10"/>
        <v>0</v>
      </c>
      <c r="J75" s="44"/>
      <c r="K75" s="47"/>
    </row>
    <row r="76" spans="1:11" ht="12.75" x14ac:dyDescent="0.2">
      <c r="A76" s="16"/>
      <c r="B76" s="18"/>
      <c r="C76" s="18"/>
      <c r="D76" s="18"/>
      <c r="E76" s="18" t="s">
        <v>14</v>
      </c>
      <c r="F76" s="18"/>
      <c r="G76" s="21">
        <f>SUM(G67:G75)</f>
        <v>20</v>
      </c>
      <c r="H76" s="21">
        <f>SUM(H67:H75)</f>
        <v>20</v>
      </c>
      <c r="I76" s="21">
        <f t="shared" ref="I76" si="11">H76-G76</f>
        <v>0</v>
      </c>
      <c r="J76" s="22"/>
      <c r="K76" s="18"/>
    </row>
    <row r="77" spans="1:11" ht="18.75" customHeight="1" x14ac:dyDescent="0.2">
      <c r="A77" s="74" t="s">
        <v>20</v>
      </c>
      <c r="B77" s="53"/>
      <c r="C77" s="53"/>
      <c r="D77" s="53"/>
      <c r="E77" s="53"/>
      <c r="F77" s="53"/>
      <c r="G77" s="53"/>
      <c r="H77" s="53"/>
      <c r="I77" s="53"/>
      <c r="J77" s="53"/>
      <c r="K77" s="54"/>
    </row>
    <row r="78" spans="1:11" ht="12.75" x14ac:dyDescent="0.2">
      <c r="A78" s="34" t="s">
        <v>12</v>
      </c>
      <c r="B78" s="75" t="s">
        <v>212</v>
      </c>
      <c r="C78" s="53"/>
      <c r="D78" s="53"/>
      <c r="E78" s="53"/>
      <c r="F78" s="53"/>
      <c r="G78" s="53"/>
      <c r="H78" s="53"/>
      <c r="I78" s="53"/>
      <c r="J78" s="53"/>
      <c r="K78" s="54"/>
    </row>
    <row r="79" spans="1:11" ht="28.5" customHeight="1" x14ac:dyDescent="0.2">
      <c r="A79" s="35" t="s">
        <v>13</v>
      </c>
      <c r="B79" s="75" t="s">
        <v>213</v>
      </c>
      <c r="C79" s="53"/>
      <c r="D79" s="53"/>
      <c r="E79" s="53"/>
      <c r="F79" s="53"/>
      <c r="G79" s="53"/>
      <c r="H79" s="53"/>
      <c r="I79" s="53"/>
      <c r="J79" s="53"/>
      <c r="K79" s="54"/>
    </row>
    <row r="80" spans="1:11" ht="12.75" x14ac:dyDescent="0.2">
      <c r="A80" s="46">
        <v>46167</v>
      </c>
      <c r="B80" s="45" t="s">
        <v>59</v>
      </c>
      <c r="C80" s="43" t="s">
        <v>214</v>
      </c>
      <c r="D80" s="44" t="s">
        <v>215</v>
      </c>
      <c r="E80" s="44" t="s">
        <v>57</v>
      </c>
      <c r="F80" s="44" t="s">
        <v>52</v>
      </c>
      <c r="G80" s="44">
        <v>2</v>
      </c>
      <c r="H80" s="44">
        <v>2</v>
      </c>
      <c r="I80" s="44">
        <f t="shared" ref="I80:I87" si="12">H80-G80</f>
        <v>0</v>
      </c>
      <c r="J80" s="44" t="s">
        <v>103</v>
      </c>
      <c r="K80" s="47"/>
    </row>
    <row r="81" spans="1:11" ht="12.75" x14ac:dyDescent="0.2">
      <c r="A81" s="46">
        <v>46167</v>
      </c>
      <c r="B81" s="45" t="s">
        <v>59</v>
      </c>
      <c r="C81" s="43" t="s">
        <v>216</v>
      </c>
      <c r="D81" s="44" t="s">
        <v>217</v>
      </c>
      <c r="E81" s="44" t="s">
        <v>57</v>
      </c>
      <c r="F81" s="44" t="s">
        <v>52</v>
      </c>
      <c r="G81" s="44">
        <v>2</v>
      </c>
      <c r="H81" s="44">
        <v>2</v>
      </c>
      <c r="I81" s="44">
        <f t="shared" si="12"/>
        <v>0</v>
      </c>
      <c r="J81" s="44" t="s">
        <v>103</v>
      </c>
      <c r="K81" s="47"/>
    </row>
    <row r="82" spans="1:11" ht="12.75" x14ac:dyDescent="0.2">
      <c r="A82" s="46">
        <v>46168</v>
      </c>
      <c r="B82" s="45" t="s">
        <v>59</v>
      </c>
      <c r="C82" s="43" t="s">
        <v>218</v>
      </c>
      <c r="D82" s="44" t="s">
        <v>219</v>
      </c>
      <c r="E82" s="44" t="s">
        <v>57</v>
      </c>
      <c r="F82" s="44" t="s">
        <v>127</v>
      </c>
      <c r="G82" s="44">
        <v>1.5</v>
      </c>
      <c r="H82" s="44">
        <v>1.5</v>
      </c>
      <c r="I82" s="44">
        <f t="shared" si="12"/>
        <v>0</v>
      </c>
      <c r="J82" s="44" t="s">
        <v>103</v>
      </c>
      <c r="K82" s="47" t="s">
        <v>220</v>
      </c>
    </row>
    <row r="83" spans="1:11" ht="12.75" x14ac:dyDescent="0.2">
      <c r="A83" s="46">
        <v>46168</v>
      </c>
      <c r="B83" s="45" t="s">
        <v>59</v>
      </c>
      <c r="C83" s="43" t="s">
        <v>221</v>
      </c>
      <c r="D83" s="44" t="s">
        <v>222</v>
      </c>
      <c r="E83" s="44" t="s">
        <v>57</v>
      </c>
      <c r="F83" s="44" t="s">
        <v>127</v>
      </c>
      <c r="G83" s="44">
        <v>1.5</v>
      </c>
      <c r="H83" s="44">
        <v>1.5</v>
      </c>
      <c r="I83" s="44">
        <f t="shared" si="12"/>
        <v>0</v>
      </c>
      <c r="J83" s="44" t="s">
        <v>103</v>
      </c>
      <c r="K83" s="47" t="s">
        <v>220</v>
      </c>
    </row>
    <row r="84" spans="1:11" ht="12.75" x14ac:dyDescent="0.2">
      <c r="A84" s="46">
        <v>46170</v>
      </c>
      <c r="B84" s="45" t="s">
        <v>59</v>
      </c>
      <c r="C84" s="43" t="s">
        <v>223</v>
      </c>
      <c r="D84" s="44" t="s">
        <v>224</v>
      </c>
      <c r="E84" s="44" t="s">
        <v>54</v>
      </c>
      <c r="F84" s="44" t="s">
        <v>52</v>
      </c>
      <c r="G84" s="44">
        <v>3</v>
      </c>
      <c r="H84" s="44">
        <v>3</v>
      </c>
      <c r="I84" s="44">
        <f t="shared" si="12"/>
        <v>0</v>
      </c>
      <c r="J84" s="44" t="s">
        <v>225</v>
      </c>
      <c r="K84" s="47"/>
    </row>
    <row r="85" spans="1:11" ht="12.75" x14ac:dyDescent="0.2">
      <c r="A85" s="46">
        <v>46170</v>
      </c>
      <c r="B85" s="45" t="s">
        <v>59</v>
      </c>
      <c r="C85" s="43" t="s">
        <v>226</v>
      </c>
      <c r="D85" s="44" t="s">
        <v>227</v>
      </c>
      <c r="E85" s="44" t="s">
        <v>54</v>
      </c>
      <c r="F85" s="44" t="s">
        <v>52</v>
      </c>
      <c r="G85" s="44">
        <v>3</v>
      </c>
      <c r="H85" s="44">
        <v>3</v>
      </c>
      <c r="I85" s="44">
        <f t="shared" si="12"/>
        <v>0</v>
      </c>
      <c r="J85" s="44" t="s">
        <v>130</v>
      </c>
      <c r="K85" s="47"/>
    </row>
    <row r="86" spans="1:11" ht="12.75" x14ac:dyDescent="0.2">
      <c r="A86" s="46">
        <v>46171</v>
      </c>
      <c r="B86" s="45" t="s">
        <v>59</v>
      </c>
      <c r="C86" s="43" t="s">
        <v>228</v>
      </c>
      <c r="D86" s="44" t="s">
        <v>227</v>
      </c>
      <c r="E86" s="44" t="s">
        <v>54</v>
      </c>
      <c r="F86" s="44" t="s">
        <v>52</v>
      </c>
      <c r="G86" s="44">
        <v>3</v>
      </c>
      <c r="H86" s="44">
        <v>3.5</v>
      </c>
      <c r="I86" s="44">
        <f t="shared" si="12"/>
        <v>0.5</v>
      </c>
      <c r="J86" s="44" t="s">
        <v>130</v>
      </c>
      <c r="K86" s="47"/>
    </row>
    <row r="87" spans="1:11" ht="12.75" x14ac:dyDescent="0.2">
      <c r="A87" s="46">
        <v>46171</v>
      </c>
      <c r="B87" s="45" t="s">
        <v>59</v>
      </c>
      <c r="C87" s="43" t="s">
        <v>229</v>
      </c>
      <c r="D87" s="44" t="s">
        <v>133</v>
      </c>
      <c r="E87" s="44" t="s">
        <v>60</v>
      </c>
      <c r="F87" s="44" t="s">
        <v>52</v>
      </c>
      <c r="G87" s="44">
        <v>2.5</v>
      </c>
      <c r="H87" s="44">
        <v>2.5</v>
      </c>
      <c r="I87" s="44">
        <f t="shared" si="12"/>
        <v>0</v>
      </c>
      <c r="J87" s="44" t="s">
        <v>134</v>
      </c>
      <c r="K87" s="47"/>
    </row>
    <row r="88" spans="1:11" ht="12.75" x14ac:dyDescent="0.2">
      <c r="A88" s="16"/>
      <c r="B88" s="18"/>
      <c r="C88" s="18"/>
      <c r="D88" s="18"/>
      <c r="E88" s="18" t="s">
        <v>14</v>
      </c>
      <c r="F88" s="18"/>
      <c r="G88" s="21">
        <f>SUM(G80:G87)</f>
        <v>18.5</v>
      </c>
      <c r="H88" s="21">
        <f>SUM(H80:H87)</f>
        <v>19</v>
      </c>
      <c r="I88" s="21">
        <f t="shared" ref="I88" si="13">H88-G88</f>
        <v>0.5</v>
      </c>
      <c r="J88" s="22"/>
      <c r="K88" s="18"/>
    </row>
    <row r="89" spans="1:11" ht="12.75" x14ac:dyDescent="0.2">
      <c r="A89" s="65" t="s">
        <v>21</v>
      </c>
      <c r="B89" s="53"/>
      <c r="C89" s="53"/>
      <c r="D89" s="53"/>
      <c r="E89" s="53"/>
      <c r="F89" s="53"/>
      <c r="G89" s="53"/>
      <c r="H89" s="53"/>
      <c r="I89" s="53"/>
      <c r="J89" s="53"/>
      <c r="K89" s="54"/>
    </row>
    <row r="90" spans="1:11" ht="12.75" x14ac:dyDescent="0.2">
      <c r="A90" s="36" t="s">
        <v>12</v>
      </c>
      <c r="B90" s="66" t="s">
        <v>230</v>
      </c>
      <c r="C90" s="67"/>
      <c r="D90" s="67"/>
      <c r="E90" s="67"/>
      <c r="F90" s="67"/>
      <c r="G90" s="67"/>
      <c r="H90" s="67"/>
      <c r="I90" s="67"/>
      <c r="J90" s="67"/>
      <c r="K90" s="68"/>
    </row>
    <row r="91" spans="1:11" ht="27.75" customHeight="1" x14ac:dyDescent="0.2">
      <c r="A91" s="37" t="s">
        <v>13</v>
      </c>
      <c r="B91" s="69" t="s">
        <v>231</v>
      </c>
      <c r="C91" s="70"/>
      <c r="D91" s="70"/>
      <c r="E91" s="70"/>
      <c r="F91" s="70"/>
      <c r="G91" s="70"/>
      <c r="H91" s="70"/>
      <c r="I91" s="70"/>
      <c r="J91" s="70"/>
      <c r="K91" s="71"/>
    </row>
    <row r="92" spans="1:11" ht="12.75" x14ac:dyDescent="0.2">
      <c r="A92" s="46">
        <v>46174</v>
      </c>
      <c r="B92" s="45" t="s">
        <v>59</v>
      </c>
      <c r="C92" s="43" t="s">
        <v>232</v>
      </c>
      <c r="D92" s="44" t="s">
        <v>233</v>
      </c>
      <c r="E92" s="44" t="s">
        <v>48</v>
      </c>
      <c r="F92" s="44" t="s">
        <v>52</v>
      </c>
      <c r="G92" s="44">
        <v>3</v>
      </c>
      <c r="H92" s="44">
        <v>3</v>
      </c>
      <c r="I92" s="44">
        <f t="shared" ref="I92:I98" si="14">H92-G92</f>
        <v>0</v>
      </c>
      <c r="J92" s="44" t="s">
        <v>106</v>
      </c>
      <c r="K92" s="24"/>
    </row>
    <row r="93" spans="1:11" ht="12.75" x14ac:dyDescent="0.2">
      <c r="A93" s="46">
        <v>46174</v>
      </c>
      <c r="B93" s="45" t="s">
        <v>59</v>
      </c>
      <c r="C93" s="43" t="s">
        <v>234</v>
      </c>
      <c r="D93" s="44" t="s">
        <v>235</v>
      </c>
      <c r="E93" s="44" t="s">
        <v>54</v>
      </c>
      <c r="F93" s="44" t="s">
        <v>52</v>
      </c>
      <c r="G93" s="44">
        <v>2</v>
      </c>
      <c r="H93" s="44">
        <v>2</v>
      </c>
      <c r="I93" s="44">
        <f t="shared" si="14"/>
        <v>0</v>
      </c>
      <c r="J93" s="44" t="s">
        <v>106</v>
      </c>
      <c r="K93" s="24"/>
    </row>
    <row r="94" spans="1:11" ht="12.75" x14ac:dyDescent="0.2">
      <c r="A94" s="46">
        <v>46175</v>
      </c>
      <c r="B94" s="45" t="s">
        <v>59</v>
      </c>
      <c r="C94" s="43" t="s">
        <v>236</v>
      </c>
      <c r="D94" s="44" t="s">
        <v>237</v>
      </c>
      <c r="E94" s="44" t="s">
        <v>54</v>
      </c>
      <c r="F94" s="44" t="s">
        <v>61</v>
      </c>
      <c r="G94" s="44">
        <v>3</v>
      </c>
      <c r="H94" s="44">
        <v>3</v>
      </c>
      <c r="I94" s="44">
        <f t="shared" si="14"/>
        <v>0</v>
      </c>
      <c r="J94" s="44" t="s">
        <v>106</v>
      </c>
      <c r="K94" s="24"/>
    </row>
    <row r="95" spans="1:11" ht="12.75" x14ac:dyDescent="0.2">
      <c r="A95" s="46">
        <v>46175</v>
      </c>
      <c r="B95" s="45" t="s">
        <v>59</v>
      </c>
      <c r="C95" s="43" t="s">
        <v>238</v>
      </c>
      <c r="D95" s="44" t="s">
        <v>239</v>
      </c>
      <c r="E95" s="44" t="s">
        <v>60</v>
      </c>
      <c r="F95" s="44" t="s">
        <v>61</v>
      </c>
      <c r="G95" s="44">
        <v>2</v>
      </c>
      <c r="H95" s="44">
        <v>2</v>
      </c>
      <c r="I95" s="44">
        <f t="shared" si="14"/>
        <v>0</v>
      </c>
      <c r="J95" s="44" t="s">
        <v>106</v>
      </c>
      <c r="K95" s="24"/>
    </row>
    <row r="96" spans="1:11" ht="12.75" x14ac:dyDescent="0.2">
      <c r="A96" s="46">
        <v>46177</v>
      </c>
      <c r="B96" s="45" t="s">
        <v>59</v>
      </c>
      <c r="C96" s="43" t="s">
        <v>240</v>
      </c>
      <c r="D96" s="44" t="s">
        <v>241</v>
      </c>
      <c r="E96" s="44" t="s">
        <v>54</v>
      </c>
      <c r="F96" s="44" t="s">
        <v>52</v>
      </c>
      <c r="G96" s="44">
        <v>3</v>
      </c>
      <c r="H96" s="44">
        <v>3</v>
      </c>
      <c r="I96" s="44">
        <f t="shared" si="14"/>
        <v>0</v>
      </c>
      <c r="J96" s="44" t="s">
        <v>242</v>
      </c>
      <c r="K96" s="24"/>
    </row>
    <row r="97" spans="1:11" ht="12.75" x14ac:dyDescent="0.2">
      <c r="A97" s="46">
        <v>46177</v>
      </c>
      <c r="B97" s="45" t="s">
        <v>59</v>
      </c>
      <c r="C97" s="43" t="s">
        <v>243</v>
      </c>
      <c r="D97" s="44" t="s">
        <v>244</v>
      </c>
      <c r="E97" s="44" t="s">
        <v>60</v>
      </c>
      <c r="F97" s="44" t="s">
        <v>52</v>
      </c>
      <c r="G97" s="44">
        <v>2</v>
      </c>
      <c r="H97" s="44">
        <v>2</v>
      </c>
      <c r="I97" s="44">
        <f t="shared" si="14"/>
        <v>0</v>
      </c>
      <c r="J97" s="44" t="s">
        <v>245</v>
      </c>
      <c r="K97" s="24"/>
    </row>
    <row r="98" spans="1:11" ht="12.75" x14ac:dyDescent="0.2">
      <c r="A98" s="46">
        <v>46178</v>
      </c>
      <c r="B98" s="45" t="s">
        <v>59</v>
      </c>
      <c r="C98" s="43" t="s">
        <v>246</v>
      </c>
      <c r="D98" s="44" t="s">
        <v>247</v>
      </c>
      <c r="E98" s="44" t="s">
        <v>54</v>
      </c>
      <c r="F98" s="44" t="s">
        <v>61</v>
      </c>
      <c r="G98" s="44">
        <v>1.5</v>
      </c>
      <c r="H98" s="44">
        <v>1.5</v>
      </c>
      <c r="I98" s="44">
        <f t="shared" si="14"/>
        <v>0</v>
      </c>
      <c r="J98" s="44" t="s">
        <v>242</v>
      </c>
      <c r="K98" s="24"/>
    </row>
    <row r="99" spans="1:11" ht="12.75" x14ac:dyDescent="0.2">
      <c r="A99" s="16"/>
      <c r="B99" s="18"/>
      <c r="C99" s="18"/>
      <c r="D99" s="18"/>
      <c r="E99" s="18" t="s">
        <v>14</v>
      </c>
      <c r="F99" s="18"/>
      <c r="G99" s="21">
        <f>SUM(G92:G98)</f>
        <v>16.5</v>
      </c>
      <c r="H99" s="21">
        <f>SUM(H92:H98)</f>
        <v>16.5</v>
      </c>
      <c r="I99" s="21">
        <f t="shared" ref="I99" si="15">H99-G99</f>
        <v>0</v>
      </c>
      <c r="J99" s="22"/>
      <c r="K99" s="18"/>
    </row>
    <row r="100" spans="1:11" ht="12.75" x14ac:dyDescent="0.2">
      <c r="G100" s="38"/>
      <c r="H100" s="42"/>
      <c r="I100" s="25"/>
    </row>
    <row r="102" spans="1:11" ht="18.75" customHeight="1" x14ac:dyDescent="0.2">
      <c r="A102" s="50" t="s">
        <v>22</v>
      </c>
      <c r="B102" s="51"/>
      <c r="C102" s="51"/>
      <c r="D102" s="51"/>
      <c r="E102" s="51"/>
      <c r="F102" s="51"/>
      <c r="G102" s="51"/>
      <c r="H102" s="51"/>
      <c r="I102" s="51"/>
      <c r="J102" s="51"/>
      <c r="K102" s="51"/>
    </row>
    <row r="103" spans="1:11" ht="12.75" x14ac:dyDescent="0.2">
      <c r="A103" s="7" t="s">
        <v>12</v>
      </c>
      <c r="B103" s="52" t="s">
        <v>248</v>
      </c>
      <c r="C103" s="53"/>
      <c r="D103" s="53"/>
      <c r="E103" s="53"/>
      <c r="F103" s="53"/>
      <c r="G103" s="53"/>
      <c r="H103" s="53"/>
      <c r="I103" s="53"/>
      <c r="J103" s="53"/>
      <c r="K103" s="54"/>
    </row>
    <row r="104" spans="1:11" ht="27.75" customHeight="1" x14ac:dyDescent="0.2">
      <c r="A104" s="10" t="s">
        <v>13</v>
      </c>
      <c r="B104" s="52" t="s">
        <v>249</v>
      </c>
      <c r="C104" s="53"/>
      <c r="D104" s="53"/>
      <c r="E104" s="53"/>
      <c r="F104" s="53"/>
      <c r="G104" s="53"/>
      <c r="H104" s="53"/>
      <c r="I104" s="53"/>
      <c r="J104" s="53"/>
      <c r="K104" s="54"/>
    </row>
    <row r="105" spans="1:11" ht="12.75" x14ac:dyDescent="0.2">
      <c r="A105" s="46">
        <v>46181</v>
      </c>
      <c r="B105" s="45" t="s">
        <v>59</v>
      </c>
      <c r="C105" s="43" t="s">
        <v>250</v>
      </c>
      <c r="D105" s="44" t="s">
        <v>251</v>
      </c>
      <c r="E105" s="44" t="s">
        <v>54</v>
      </c>
      <c r="F105" s="44" t="s">
        <v>52</v>
      </c>
      <c r="G105" s="44">
        <v>3</v>
      </c>
      <c r="H105" s="44">
        <v>3</v>
      </c>
      <c r="I105" s="44">
        <f t="shared" ref="I105:I112" si="16">H105-G105</f>
        <v>0</v>
      </c>
      <c r="J105" s="44" t="s">
        <v>130</v>
      </c>
      <c r="K105" s="47"/>
    </row>
    <row r="106" spans="1:11" ht="12.75" x14ac:dyDescent="0.2">
      <c r="A106" s="46">
        <v>46181</v>
      </c>
      <c r="B106" s="45" t="s">
        <v>59</v>
      </c>
      <c r="C106" s="43" t="s">
        <v>252</v>
      </c>
      <c r="D106" s="44" t="s">
        <v>251</v>
      </c>
      <c r="E106" s="44" t="s">
        <v>54</v>
      </c>
      <c r="F106" s="44" t="s">
        <v>52</v>
      </c>
      <c r="G106" s="44">
        <v>3</v>
      </c>
      <c r="H106" s="44">
        <v>3</v>
      </c>
      <c r="I106" s="44">
        <f t="shared" si="16"/>
        <v>0</v>
      </c>
      <c r="J106" s="44" t="s">
        <v>253</v>
      </c>
      <c r="K106" s="47"/>
    </row>
    <row r="107" spans="1:11" ht="12.75" x14ac:dyDescent="0.2">
      <c r="A107" s="46">
        <v>46182</v>
      </c>
      <c r="B107" s="45" t="s">
        <v>59</v>
      </c>
      <c r="C107" s="43" t="s">
        <v>254</v>
      </c>
      <c r="D107" s="44" t="s">
        <v>255</v>
      </c>
      <c r="E107" s="44" t="s">
        <v>70</v>
      </c>
      <c r="F107" s="44" t="s">
        <v>127</v>
      </c>
      <c r="G107" s="44">
        <v>2</v>
      </c>
      <c r="H107" s="44">
        <v>2.5</v>
      </c>
      <c r="I107" s="44">
        <f t="shared" si="16"/>
        <v>0.5</v>
      </c>
      <c r="J107" s="44" t="s">
        <v>103</v>
      </c>
      <c r="K107" s="47"/>
    </row>
    <row r="108" spans="1:11" ht="12.75" x14ac:dyDescent="0.2">
      <c r="A108" s="46">
        <v>46182</v>
      </c>
      <c r="B108" s="45" t="s">
        <v>59</v>
      </c>
      <c r="C108" s="43" t="s">
        <v>256</v>
      </c>
      <c r="D108" s="44" t="s">
        <v>257</v>
      </c>
      <c r="E108" s="44" t="s">
        <v>60</v>
      </c>
      <c r="F108" s="44" t="s">
        <v>52</v>
      </c>
      <c r="G108" s="44">
        <v>2</v>
      </c>
      <c r="H108" s="44">
        <v>2</v>
      </c>
      <c r="I108" s="44">
        <f t="shared" si="16"/>
        <v>0</v>
      </c>
      <c r="J108" s="44" t="s">
        <v>134</v>
      </c>
      <c r="K108" s="47"/>
    </row>
    <row r="109" spans="1:11" ht="12.75" x14ac:dyDescent="0.2">
      <c r="A109" s="46">
        <v>46184</v>
      </c>
      <c r="B109" s="45" t="s">
        <v>59</v>
      </c>
      <c r="C109" s="43" t="s">
        <v>258</v>
      </c>
      <c r="D109" s="44" t="s">
        <v>257</v>
      </c>
      <c r="E109" s="44" t="s">
        <v>60</v>
      </c>
      <c r="F109" s="44" t="s">
        <v>52</v>
      </c>
      <c r="G109" s="44">
        <v>2</v>
      </c>
      <c r="H109" s="44">
        <v>2</v>
      </c>
      <c r="I109" s="44">
        <f t="shared" si="16"/>
        <v>0</v>
      </c>
      <c r="J109" s="44" t="s">
        <v>134</v>
      </c>
      <c r="K109" s="47"/>
    </row>
    <row r="110" spans="1:11" ht="12.75" x14ac:dyDescent="0.2">
      <c r="A110" s="46">
        <v>46184</v>
      </c>
      <c r="B110" s="45" t="s">
        <v>59</v>
      </c>
      <c r="C110" s="43" t="s">
        <v>259</v>
      </c>
      <c r="D110" s="44" t="s">
        <v>260</v>
      </c>
      <c r="E110" s="44" t="s">
        <v>57</v>
      </c>
      <c r="F110" s="44" t="s">
        <v>52</v>
      </c>
      <c r="G110" s="44">
        <v>2</v>
      </c>
      <c r="H110" s="44">
        <v>2</v>
      </c>
      <c r="I110" s="44">
        <f t="shared" si="16"/>
        <v>0</v>
      </c>
      <c r="J110" s="44" t="s">
        <v>134</v>
      </c>
      <c r="K110" s="47"/>
    </row>
    <row r="111" spans="1:11" ht="12.75" x14ac:dyDescent="0.2">
      <c r="A111" s="46">
        <v>46185</v>
      </c>
      <c r="B111" s="45" t="s">
        <v>59</v>
      </c>
      <c r="C111" s="43" t="s">
        <v>261</v>
      </c>
      <c r="D111" s="44" t="s">
        <v>262</v>
      </c>
      <c r="E111" s="44" t="s">
        <v>70</v>
      </c>
      <c r="F111" s="44" t="s">
        <v>127</v>
      </c>
      <c r="G111" s="44">
        <v>2</v>
      </c>
      <c r="H111" s="44">
        <v>2</v>
      </c>
      <c r="I111" s="44">
        <f t="shared" si="16"/>
        <v>0</v>
      </c>
      <c r="J111" s="44" t="s">
        <v>103</v>
      </c>
      <c r="K111" s="47" t="s">
        <v>263</v>
      </c>
    </row>
    <row r="112" spans="1:11" ht="12.75" x14ac:dyDescent="0.2">
      <c r="A112" s="46">
        <v>46185</v>
      </c>
      <c r="B112" s="45" t="s">
        <v>59</v>
      </c>
      <c r="C112" s="43" t="s">
        <v>264</v>
      </c>
      <c r="D112" s="44" t="s">
        <v>265</v>
      </c>
      <c r="E112" s="44" t="s">
        <v>70</v>
      </c>
      <c r="F112" s="44" t="s">
        <v>127</v>
      </c>
      <c r="G112" s="44">
        <v>2</v>
      </c>
      <c r="H112" s="44">
        <v>2</v>
      </c>
      <c r="I112" s="44">
        <f t="shared" si="16"/>
        <v>0</v>
      </c>
      <c r="J112" s="44" t="s">
        <v>103</v>
      </c>
      <c r="K112" s="47" t="s">
        <v>266</v>
      </c>
    </row>
    <row r="113" spans="1:11" ht="12.75" x14ac:dyDescent="0.2">
      <c r="A113" s="16"/>
      <c r="B113" s="18"/>
      <c r="C113" s="18"/>
      <c r="D113" s="18"/>
      <c r="E113" s="18" t="s">
        <v>14</v>
      </c>
      <c r="F113" s="18"/>
      <c r="G113" s="21">
        <f>SUM(G105:G112)</f>
        <v>18</v>
      </c>
      <c r="H113" s="21">
        <f>SUM(H105:H112)</f>
        <v>18.5</v>
      </c>
      <c r="I113" s="21">
        <f t="shared" ref="I113" si="17">H113-G113</f>
        <v>0.5</v>
      </c>
      <c r="J113" s="22"/>
      <c r="K113" s="18"/>
    </row>
    <row r="114" spans="1:11" ht="18.75" customHeight="1" x14ac:dyDescent="0.2">
      <c r="A114" s="55" t="s">
        <v>23</v>
      </c>
      <c r="B114" s="51"/>
      <c r="C114" s="51"/>
      <c r="D114" s="51"/>
      <c r="E114" s="51"/>
      <c r="F114" s="51"/>
      <c r="G114" s="51"/>
      <c r="H114" s="51"/>
      <c r="I114" s="51"/>
      <c r="J114" s="51"/>
      <c r="K114" s="51"/>
    </row>
    <row r="115" spans="1:11" ht="12.75" x14ac:dyDescent="0.2">
      <c r="A115" s="41" t="s">
        <v>12</v>
      </c>
      <c r="B115" s="56" t="s">
        <v>267</v>
      </c>
      <c r="C115" s="53"/>
      <c r="D115" s="53"/>
      <c r="E115" s="53"/>
      <c r="F115" s="53"/>
      <c r="G115" s="53"/>
      <c r="H115" s="53"/>
      <c r="I115" s="53"/>
      <c r="J115" s="53"/>
      <c r="K115" s="54"/>
    </row>
    <row r="116" spans="1:11" ht="27.75" customHeight="1" x14ac:dyDescent="0.2">
      <c r="A116" s="23" t="s">
        <v>13</v>
      </c>
      <c r="B116" s="56" t="s">
        <v>143</v>
      </c>
      <c r="C116" s="53"/>
      <c r="D116" s="53"/>
      <c r="E116" s="53"/>
      <c r="F116" s="53"/>
      <c r="G116" s="53"/>
      <c r="H116" s="53"/>
      <c r="I116" s="53"/>
      <c r="J116" s="53"/>
      <c r="K116" s="54"/>
    </row>
    <row r="117" spans="1:11" ht="12.75" x14ac:dyDescent="0.2">
      <c r="A117" s="46">
        <v>46188</v>
      </c>
      <c r="B117" s="45" t="s">
        <v>59</v>
      </c>
      <c r="C117" s="43" t="s">
        <v>268</v>
      </c>
      <c r="D117" s="44" t="s">
        <v>269</v>
      </c>
      <c r="E117" s="44" t="s">
        <v>57</v>
      </c>
      <c r="F117" s="44" t="s">
        <v>52</v>
      </c>
      <c r="G117" s="44">
        <v>2</v>
      </c>
      <c r="H117" s="44">
        <v>2</v>
      </c>
      <c r="I117" s="44">
        <f t="shared" ref="I117:I125" si="18">H117-G117</f>
        <v>0</v>
      </c>
      <c r="J117" s="44" t="s">
        <v>270</v>
      </c>
      <c r="K117" s="47"/>
    </row>
    <row r="118" spans="1:11" ht="12.75" x14ac:dyDescent="0.2">
      <c r="A118" s="46">
        <v>46188</v>
      </c>
      <c r="B118" s="45" t="s">
        <v>59</v>
      </c>
      <c r="C118" s="43" t="s">
        <v>271</v>
      </c>
      <c r="D118" s="44" t="s">
        <v>272</v>
      </c>
      <c r="E118" s="44" t="s">
        <v>60</v>
      </c>
      <c r="F118" s="44" t="s">
        <v>52</v>
      </c>
      <c r="G118" s="44">
        <v>2</v>
      </c>
      <c r="H118" s="44">
        <v>2</v>
      </c>
      <c r="I118" s="44">
        <f t="shared" si="18"/>
        <v>0</v>
      </c>
      <c r="J118" s="44" t="s">
        <v>134</v>
      </c>
      <c r="K118" s="47"/>
    </row>
    <row r="119" spans="1:11" ht="12.75" x14ac:dyDescent="0.2">
      <c r="A119" s="46">
        <v>46189</v>
      </c>
      <c r="B119" s="45" t="s">
        <v>59</v>
      </c>
      <c r="C119" s="43" t="s">
        <v>273</v>
      </c>
      <c r="D119" s="44" t="s">
        <v>274</v>
      </c>
      <c r="E119" s="44" t="s">
        <v>57</v>
      </c>
      <c r="F119" s="44" t="s">
        <v>52</v>
      </c>
      <c r="G119" s="44">
        <v>2.5</v>
      </c>
      <c r="H119" s="44">
        <v>2.5</v>
      </c>
      <c r="I119" s="44">
        <f t="shared" si="18"/>
        <v>0</v>
      </c>
      <c r="J119" s="44" t="s">
        <v>134</v>
      </c>
      <c r="K119" s="47"/>
    </row>
    <row r="120" spans="1:11" ht="12.75" x14ac:dyDescent="0.2">
      <c r="A120" s="46">
        <v>46189</v>
      </c>
      <c r="B120" s="45" t="s">
        <v>59</v>
      </c>
      <c r="C120" s="43" t="s">
        <v>275</v>
      </c>
      <c r="D120" s="44" t="s">
        <v>276</v>
      </c>
      <c r="E120" s="44" t="s">
        <v>57</v>
      </c>
      <c r="F120" s="44" t="s">
        <v>52</v>
      </c>
      <c r="G120" s="44">
        <v>2</v>
      </c>
      <c r="H120" s="44">
        <v>2</v>
      </c>
      <c r="I120" s="44">
        <f t="shared" si="18"/>
        <v>0</v>
      </c>
      <c r="J120" s="44" t="s">
        <v>134</v>
      </c>
      <c r="K120" s="47"/>
    </row>
    <row r="121" spans="1:11" s="42" customFormat="1" ht="12.75" x14ac:dyDescent="0.2">
      <c r="A121" s="46">
        <v>46190</v>
      </c>
      <c r="B121" s="49" t="s">
        <v>59</v>
      </c>
      <c r="C121" s="48" t="s">
        <v>499</v>
      </c>
      <c r="D121" s="44" t="s">
        <v>502</v>
      </c>
      <c r="E121" s="39" t="s">
        <v>66</v>
      </c>
      <c r="F121" s="39" t="s">
        <v>75</v>
      </c>
      <c r="G121" s="44">
        <v>0.5</v>
      </c>
      <c r="H121" s="44">
        <v>0.5</v>
      </c>
      <c r="I121" s="44">
        <f t="shared" si="18"/>
        <v>0</v>
      </c>
      <c r="J121" s="44"/>
      <c r="K121" s="47"/>
    </row>
    <row r="122" spans="1:11" ht="12.75" x14ac:dyDescent="0.2">
      <c r="A122" s="46">
        <v>46191</v>
      </c>
      <c r="B122" s="45" t="s">
        <v>59</v>
      </c>
      <c r="C122" s="43" t="s">
        <v>277</v>
      </c>
      <c r="D122" s="44" t="s">
        <v>278</v>
      </c>
      <c r="E122" s="44" t="s">
        <v>57</v>
      </c>
      <c r="F122" s="44" t="s">
        <v>52</v>
      </c>
      <c r="G122" s="44">
        <v>2</v>
      </c>
      <c r="H122" s="44">
        <v>2</v>
      </c>
      <c r="I122" s="44">
        <f t="shared" si="18"/>
        <v>0</v>
      </c>
      <c r="J122" s="44" t="s">
        <v>134</v>
      </c>
      <c r="K122" s="47"/>
    </row>
    <row r="123" spans="1:11" ht="12.75" x14ac:dyDescent="0.2">
      <c r="A123" s="46">
        <v>46191</v>
      </c>
      <c r="B123" s="45" t="s">
        <v>59</v>
      </c>
      <c r="C123" s="43" t="s">
        <v>279</v>
      </c>
      <c r="D123" s="44" t="s">
        <v>280</v>
      </c>
      <c r="E123" s="44" t="s">
        <v>57</v>
      </c>
      <c r="F123" s="44" t="s">
        <v>52</v>
      </c>
      <c r="G123" s="44">
        <v>3</v>
      </c>
      <c r="H123" s="44">
        <v>3</v>
      </c>
      <c r="I123" s="44">
        <f t="shared" si="18"/>
        <v>0</v>
      </c>
      <c r="J123" s="44" t="s">
        <v>281</v>
      </c>
      <c r="K123" s="47"/>
    </row>
    <row r="124" spans="1:11" ht="12.75" x14ac:dyDescent="0.2">
      <c r="A124" s="46">
        <v>46192</v>
      </c>
      <c r="B124" s="45" t="s">
        <v>59</v>
      </c>
      <c r="C124" s="43" t="s">
        <v>282</v>
      </c>
      <c r="D124" s="44" t="s">
        <v>283</v>
      </c>
      <c r="E124" s="44" t="s">
        <v>48</v>
      </c>
      <c r="F124" s="44" t="s">
        <v>73</v>
      </c>
      <c r="G124" s="44">
        <v>1.5</v>
      </c>
      <c r="H124" s="44">
        <v>1.5</v>
      </c>
      <c r="I124" s="44">
        <f t="shared" si="18"/>
        <v>0</v>
      </c>
      <c r="J124" s="44" t="s">
        <v>139</v>
      </c>
      <c r="K124" s="47"/>
    </row>
    <row r="125" spans="1:11" ht="12.75" x14ac:dyDescent="0.2">
      <c r="A125" s="46">
        <v>46192</v>
      </c>
      <c r="B125" s="45" t="s">
        <v>59</v>
      </c>
      <c r="C125" s="43" t="s">
        <v>284</v>
      </c>
      <c r="D125" s="44" t="s">
        <v>285</v>
      </c>
      <c r="E125" s="44" t="s">
        <v>68</v>
      </c>
      <c r="F125" s="44" t="s">
        <v>73</v>
      </c>
      <c r="G125" s="44">
        <v>2.5</v>
      </c>
      <c r="H125" s="44">
        <v>2.5</v>
      </c>
      <c r="I125" s="44">
        <f t="shared" si="18"/>
        <v>0</v>
      </c>
      <c r="J125" s="44" t="s">
        <v>286</v>
      </c>
      <c r="K125" s="47"/>
    </row>
    <row r="126" spans="1:11" ht="12.75" x14ac:dyDescent="0.2">
      <c r="A126" s="16"/>
      <c r="B126" s="18"/>
      <c r="C126" s="18"/>
      <c r="D126" s="18"/>
      <c r="E126" s="18" t="s">
        <v>14</v>
      </c>
      <c r="F126" s="18"/>
      <c r="G126" s="21">
        <f>SUM(G115:G125)</f>
        <v>18</v>
      </c>
      <c r="H126" s="21">
        <f>SUM(H115:H125)</f>
        <v>18</v>
      </c>
      <c r="I126" s="21">
        <f t="shared" ref="I126" si="19">H126-G126</f>
        <v>0</v>
      </c>
      <c r="J126" s="22"/>
      <c r="K126" s="18"/>
    </row>
    <row r="127" spans="1:11" ht="18.75" customHeight="1" x14ac:dyDescent="0.2">
      <c r="A127" s="57" t="s">
        <v>24</v>
      </c>
      <c r="B127" s="53"/>
      <c r="C127" s="53"/>
      <c r="D127" s="53"/>
      <c r="E127" s="53"/>
      <c r="F127" s="53"/>
      <c r="G127" s="53"/>
      <c r="H127" s="53"/>
      <c r="I127" s="53"/>
      <c r="J127" s="53"/>
      <c r="K127" s="54"/>
    </row>
    <row r="128" spans="1:11" ht="12.75" x14ac:dyDescent="0.2">
      <c r="A128" s="26" t="s">
        <v>12</v>
      </c>
      <c r="B128" s="58" t="s">
        <v>287</v>
      </c>
      <c r="C128" s="53"/>
      <c r="D128" s="53"/>
      <c r="E128" s="53"/>
      <c r="F128" s="53"/>
      <c r="G128" s="53"/>
      <c r="H128" s="53"/>
      <c r="I128" s="53"/>
      <c r="J128" s="53"/>
      <c r="K128" s="54"/>
    </row>
    <row r="129" spans="1:11" ht="27.75" customHeight="1" x14ac:dyDescent="0.2">
      <c r="A129" s="27" t="s">
        <v>13</v>
      </c>
      <c r="B129" s="58" t="s">
        <v>288</v>
      </c>
      <c r="C129" s="53"/>
      <c r="D129" s="53"/>
      <c r="E129" s="53"/>
      <c r="F129" s="53"/>
      <c r="G129" s="53"/>
      <c r="H129" s="53"/>
      <c r="I129" s="53"/>
      <c r="J129" s="53"/>
      <c r="K129" s="54"/>
    </row>
    <row r="130" spans="1:11" ht="12.75" x14ac:dyDescent="0.2">
      <c r="A130" s="46">
        <v>46202</v>
      </c>
      <c r="B130" s="45" t="s">
        <v>59</v>
      </c>
      <c r="C130" s="43" t="s">
        <v>289</v>
      </c>
      <c r="D130" s="44" t="s">
        <v>290</v>
      </c>
      <c r="E130" s="44" t="s">
        <v>66</v>
      </c>
      <c r="F130" s="44" t="s">
        <v>64</v>
      </c>
      <c r="G130" s="44">
        <v>2</v>
      </c>
      <c r="H130" s="44">
        <v>2</v>
      </c>
      <c r="I130" s="44">
        <f t="shared" ref="I130:I136" si="20">H130-G130</f>
        <v>0</v>
      </c>
      <c r="J130" s="44" t="s">
        <v>291</v>
      </c>
      <c r="K130" s="47"/>
    </row>
    <row r="131" spans="1:11" ht="12.75" x14ac:dyDescent="0.2">
      <c r="A131" s="46">
        <v>46202</v>
      </c>
      <c r="B131" s="45" t="s">
        <v>59</v>
      </c>
      <c r="C131" s="43" t="s">
        <v>292</v>
      </c>
      <c r="D131" s="44" t="s">
        <v>293</v>
      </c>
      <c r="E131" s="44" t="s">
        <v>54</v>
      </c>
      <c r="F131" s="44" t="s">
        <v>61</v>
      </c>
      <c r="G131" s="44">
        <v>1</v>
      </c>
      <c r="H131" s="44">
        <v>1</v>
      </c>
      <c r="I131" s="44">
        <f t="shared" si="20"/>
        <v>0</v>
      </c>
      <c r="J131" s="44"/>
      <c r="K131" s="47"/>
    </row>
    <row r="132" spans="1:11" ht="12.75" x14ac:dyDescent="0.2">
      <c r="A132" s="46">
        <v>46203</v>
      </c>
      <c r="B132" s="45" t="s">
        <v>59</v>
      </c>
      <c r="C132" s="43" t="s">
        <v>294</v>
      </c>
      <c r="D132" s="44" t="s">
        <v>295</v>
      </c>
      <c r="E132" s="44" t="s">
        <v>57</v>
      </c>
      <c r="F132" s="44" t="s">
        <v>52</v>
      </c>
      <c r="G132" s="44">
        <v>4</v>
      </c>
      <c r="H132" s="44">
        <v>4</v>
      </c>
      <c r="I132" s="44">
        <f t="shared" si="20"/>
        <v>0</v>
      </c>
      <c r="J132" s="44" t="s">
        <v>296</v>
      </c>
      <c r="K132" s="47"/>
    </row>
    <row r="133" spans="1:11" ht="12.75" x14ac:dyDescent="0.2">
      <c r="A133" s="46">
        <v>46205</v>
      </c>
      <c r="B133" s="45" t="s">
        <v>59</v>
      </c>
      <c r="C133" s="43" t="s">
        <v>297</v>
      </c>
      <c r="D133" s="44" t="s">
        <v>298</v>
      </c>
      <c r="E133" s="44" t="s">
        <v>57</v>
      </c>
      <c r="F133" s="44" t="s">
        <v>52</v>
      </c>
      <c r="G133" s="44">
        <v>3</v>
      </c>
      <c r="H133" s="44">
        <v>3</v>
      </c>
      <c r="I133" s="44">
        <f t="shared" si="20"/>
        <v>0</v>
      </c>
      <c r="J133" s="44" t="s">
        <v>296</v>
      </c>
      <c r="K133" s="47"/>
    </row>
    <row r="134" spans="1:11" ht="12.75" x14ac:dyDescent="0.2">
      <c r="A134" s="46">
        <v>46205</v>
      </c>
      <c r="B134" s="45" t="s">
        <v>59</v>
      </c>
      <c r="C134" s="43" t="s">
        <v>299</v>
      </c>
      <c r="D134" s="44" t="s">
        <v>300</v>
      </c>
      <c r="E134" s="44" t="s">
        <v>54</v>
      </c>
      <c r="F134" s="44" t="s">
        <v>52</v>
      </c>
      <c r="G134" s="44">
        <v>3</v>
      </c>
      <c r="H134" s="44">
        <v>3</v>
      </c>
      <c r="I134" s="44">
        <f t="shared" si="20"/>
        <v>0</v>
      </c>
      <c r="J134" s="44" t="s">
        <v>301</v>
      </c>
      <c r="K134" s="47"/>
    </row>
    <row r="135" spans="1:11" ht="12.75" x14ac:dyDescent="0.2">
      <c r="A135" s="46">
        <v>46206</v>
      </c>
      <c r="B135" s="45" t="s">
        <v>59</v>
      </c>
      <c r="C135" s="43" t="s">
        <v>302</v>
      </c>
      <c r="D135" s="44" t="s">
        <v>303</v>
      </c>
      <c r="E135" s="44" t="s">
        <v>54</v>
      </c>
      <c r="F135" s="44" t="s">
        <v>61</v>
      </c>
      <c r="G135" s="44">
        <v>3</v>
      </c>
      <c r="H135" s="44">
        <v>3</v>
      </c>
      <c r="I135" s="44">
        <f t="shared" si="20"/>
        <v>0</v>
      </c>
      <c r="J135" s="44" t="s">
        <v>304</v>
      </c>
      <c r="K135" s="47"/>
    </row>
    <row r="136" spans="1:11" ht="12.75" x14ac:dyDescent="0.2">
      <c r="A136" s="46">
        <v>46206</v>
      </c>
      <c r="B136" s="45" t="s">
        <v>59</v>
      </c>
      <c r="C136" s="43" t="s">
        <v>305</v>
      </c>
      <c r="D136" s="44" t="s">
        <v>303</v>
      </c>
      <c r="E136" s="44" t="s">
        <v>54</v>
      </c>
      <c r="F136" s="44" t="s">
        <v>61</v>
      </c>
      <c r="G136" s="44">
        <v>3</v>
      </c>
      <c r="H136" s="44">
        <v>3</v>
      </c>
      <c r="I136" s="44">
        <f t="shared" si="20"/>
        <v>0</v>
      </c>
      <c r="J136" s="44" t="s">
        <v>304</v>
      </c>
      <c r="K136" s="47"/>
    </row>
    <row r="137" spans="1:11" ht="12.75" x14ac:dyDescent="0.2">
      <c r="A137" s="16"/>
      <c r="B137" s="18"/>
      <c r="C137" s="18"/>
      <c r="D137" s="18"/>
      <c r="E137" s="18" t="s">
        <v>14</v>
      </c>
      <c r="F137" s="18"/>
      <c r="G137" s="21">
        <f>SUM(G130:G136)</f>
        <v>19</v>
      </c>
      <c r="H137" s="21">
        <f>SUM(H130:H136)</f>
        <v>19</v>
      </c>
      <c r="I137" s="21">
        <f t="shared" ref="I137" si="21">H137-G137</f>
        <v>0</v>
      </c>
      <c r="J137" s="22"/>
      <c r="K137" s="18"/>
    </row>
    <row r="138" spans="1:11" ht="18.75" customHeight="1" x14ac:dyDescent="0.2">
      <c r="A138" s="59" t="s">
        <v>25</v>
      </c>
      <c r="B138" s="53"/>
      <c r="C138" s="53"/>
      <c r="D138" s="53"/>
      <c r="E138" s="53"/>
      <c r="F138" s="53"/>
      <c r="G138" s="53"/>
      <c r="H138" s="53"/>
      <c r="I138" s="53"/>
      <c r="J138" s="53"/>
      <c r="K138" s="54"/>
    </row>
    <row r="139" spans="1:11" ht="12.75" x14ac:dyDescent="0.2">
      <c r="A139" s="28" t="s">
        <v>12</v>
      </c>
      <c r="B139" s="60" t="s">
        <v>306</v>
      </c>
      <c r="C139" s="53"/>
      <c r="D139" s="53"/>
      <c r="E139" s="53"/>
      <c r="F139" s="53"/>
      <c r="G139" s="53"/>
      <c r="H139" s="53"/>
      <c r="I139" s="53"/>
      <c r="J139" s="53"/>
      <c r="K139" s="54"/>
    </row>
    <row r="140" spans="1:11" ht="27.75" customHeight="1" x14ac:dyDescent="0.2">
      <c r="A140" s="29" t="s">
        <v>13</v>
      </c>
      <c r="B140" s="60" t="s">
        <v>307</v>
      </c>
      <c r="C140" s="53"/>
      <c r="D140" s="53"/>
      <c r="E140" s="53"/>
      <c r="F140" s="53"/>
      <c r="G140" s="53"/>
      <c r="H140" s="53"/>
      <c r="I140" s="53"/>
      <c r="J140" s="53"/>
      <c r="K140" s="54"/>
    </row>
    <row r="141" spans="1:11" ht="12.75" x14ac:dyDescent="0.2">
      <c r="A141" s="46">
        <v>46209</v>
      </c>
      <c r="B141" s="45" t="s">
        <v>59</v>
      </c>
      <c r="C141" s="43" t="s">
        <v>308</v>
      </c>
      <c r="D141" s="44" t="s">
        <v>309</v>
      </c>
      <c r="E141" s="44" t="s">
        <v>60</v>
      </c>
      <c r="F141" s="44" t="s">
        <v>61</v>
      </c>
      <c r="G141" s="44">
        <v>3</v>
      </c>
      <c r="H141" s="44">
        <v>3</v>
      </c>
      <c r="I141" s="44">
        <f t="shared" ref="I141:I149" si="22">H141-G141</f>
        <v>0</v>
      </c>
      <c r="J141" s="44" t="s">
        <v>304</v>
      </c>
      <c r="K141" s="47"/>
    </row>
    <row r="142" spans="1:11" ht="12.75" x14ac:dyDescent="0.2">
      <c r="A142" s="46">
        <v>46209</v>
      </c>
      <c r="B142" s="45" t="s">
        <v>59</v>
      </c>
      <c r="C142" s="43" t="s">
        <v>310</v>
      </c>
      <c r="D142" s="44" t="s">
        <v>311</v>
      </c>
      <c r="E142" s="44" t="s">
        <v>57</v>
      </c>
      <c r="F142" s="44" t="s">
        <v>52</v>
      </c>
      <c r="G142" s="44">
        <v>1</v>
      </c>
      <c r="H142" s="44">
        <v>1</v>
      </c>
      <c r="I142" s="44">
        <f t="shared" si="22"/>
        <v>0</v>
      </c>
      <c r="J142" s="44" t="s">
        <v>291</v>
      </c>
      <c r="K142" s="47"/>
    </row>
    <row r="143" spans="1:11" ht="12.75" x14ac:dyDescent="0.2">
      <c r="A143" s="46">
        <v>46210</v>
      </c>
      <c r="B143" s="45" t="s">
        <v>59</v>
      </c>
      <c r="C143" s="43" t="s">
        <v>312</v>
      </c>
      <c r="D143" s="44" t="s">
        <v>313</v>
      </c>
      <c r="E143" s="44" t="s">
        <v>54</v>
      </c>
      <c r="F143" s="44" t="s">
        <v>52</v>
      </c>
      <c r="G143" s="44">
        <v>2</v>
      </c>
      <c r="H143" s="44">
        <v>2</v>
      </c>
      <c r="I143" s="44">
        <f t="shared" si="22"/>
        <v>0</v>
      </c>
      <c r="J143" s="44" t="s">
        <v>314</v>
      </c>
      <c r="K143" s="47"/>
    </row>
    <row r="144" spans="1:11" ht="12.75" x14ac:dyDescent="0.2">
      <c r="A144" s="46">
        <v>46210</v>
      </c>
      <c r="B144" s="45" t="s">
        <v>59</v>
      </c>
      <c r="C144" s="43" t="s">
        <v>315</v>
      </c>
      <c r="D144" s="44" t="s">
        <v>316</v>
      </c>
      <c r="E144" s="44" t="s">
        <v>60</v>
      </c>
      <c r="F144" s="44" t="s">
        <v>52</v>
      </c>
      <c r="G144" s="44">
        <v>2.5</v>
      </c>
      <c r="H144" s="44">
        <v>2.5</v>
      </c>
      <c r="I144" s="44">
        <f t="shared" si="22"/>
        <v>0</v>
      </c>
      <c r="J144" s="44" t="s">
        <v>134</v>
      </c>
      <c r="K144" s="47" t="s">
        <v>317</v>
      </c>
    </row>
    <row r="145" spans="1:11" s="42" customFormat="1" ht="12.75" x14ac:dyDescent="0.2">
      <c r="A145" s="46">
        <v>46211</v>
      </c>
      <c r="B145" s="49" t="s">
        <v>59</v>
      </c>
      <c r="C145" s="48" t="s">
        <v>499</v>
      </c>
      <c r="D145" s="39" t="s">
        <v>503</v>
      </c>
      <c r="E145" s="39" t="s">
        <v>66</v>
      </c>
      <c r="F145" s="39" t="s">
        <v>75</v>
      </c>
      <c r="G145" s="44">
        <v>0.5</v>
      </c>
      <c r="H145" s="44">
        <v>0.5</v>
      </c>
      <c r="I145" s="44">
        <f t="shared" si="22"/>
        <v>0</v>
      </c>
      <c r="J145" s="44"/>
      <c r="K145" s="47"/>
    </row>
    <row r="146" spans="1:11" ht="12.75" x14ac:dyDescent="0.2">
      <c r="A146" s="46">
        <v>46212</v>
      </c>
      <c r="B146" s="45" t="s">
        <v>59</v>
      </c>
      <c r="C146" s="43" t="s">
        <v>318</v>
      </c>
      <c r="D146" s="44" t="s">
        <v>319</v>
      </c>
      <c r="E146" s="44" t="s">
        <v>48</v>
      </c>
      <c r="F146" s="44" t="s">
        <v>52</v>
      </c>
      <c r="G146" s="44">
        <v>2</v>
      </c>
      <c r="H146" s="44">
        <v>2</v>
      </c>
      <c r="I146" s="44">
        <f t="shared" si="22"/>
        <v>0</v>
      </c>
      <c r="J146" s="44" t="s">
        <v>103</v>
      </c>
      <c r="K146" s="47"/>
    </row>
    <row r="147" spans="1:11" ht="12.75" x14ac:dyDescent="0.2">
      <c r="A147" s="46">
        <v>46212</v>
      </c>
      <c r="B147" s="45" t="s">
        <v>59</v>
      </c>
      <c r="C147" s="43" t="s">
        <v>320</v>
      </c>
      <c r="D147" s="44" t="s">
        <v>321</v>
      </c>
      <c r="E147" s="44" t="s">
        <v>54</v>
      </c>
      <c r="F147" s="44" t="s">
        <v>52</v>
      </c>
      <c r="G147" s="44">
        <v>3</v>
      </c>
      <c r="H147" s="44">
        <v>3</v>
      </c>
      <c r="I147" s="44">
        <f t="shared" si="22"/>
        <v>0</v>
      </c>
      <c r="J147" s="44" t="s">
        <v>322</v>
      </c>
      <c r="K147" s="47"/>
    </row>
    <row r="148" spans="1:11" ht="12.75" x14ac:dyDescent="0.2">
      <c r="A148" s="46">
        <v>46213</v>
      </c>
      <c r="B148" s="45" t="s">
        <v>59</v>
      </c>
      <c r="C148" s="43" t="s">
        <v>323</v>
      </c>
      <c r="D148" s="44" t="s">
        <v>324</v>
      </c>
      <c r="E148" s="44" t="s">
        <v>54</v>
      </c>
      <c r="F148" s="44" t="s">
        <v>52</v>
      </c>
      <c r="G148" s="44">
        <v>3.5</v>
      </c>
      <c r="H148" s="44">
        <v>3.5</v>
      </c>
      <c r="I148" s="44">
        <f t="shared" si="22"/>
        <v>0</v>
      </c>
      <c r="J148" s="44" t="s">
        <v>325</v>
      </c>
      <c r="K148" s="47"/>
    </row>
    <row r="149" spans="1:11" ht="12.75" x14ac:dyDescent="0.2">
      <c r="A149" s="46">
        <v>46213</v>
      </c>
      <c r="B149" s="45" t="s">
        <v>59</v>
      </c>
      <c r="C149" s="43" t="s">
        <v>326</v>
      </c>
      <c r="D149" s="44" t="s">
        <v>327</v>
      </c>
      <c r="E149" s="44" t="s">
        <v>60</v>
      </c>
      <c r="F149" s="44" t="s">
        <v>52</v>
      </c>
      <c r="G149" s="44">
        <v>3</v>
      </c>
      <c r="H149" s="44">
        <v>3</v>
      </c>
      <c r="I149" s="44">
        <f t="shared" si="22"/>
        <v>0</v>
      </c>
      <c r="J149" s="44" t="s">
        <v>328</v>
      </c>
      <c r="K149" s="47"/>
    </row>
    <row r="150" spans="1:11" ht="12.75" x14ac:dyDescent="0.2">
      <c r="A150" s="16"/>
      <c r="B150" s="18"/>
      <c r="C150" s="18"/>
      <c r="D150" s="18"/>
      <c r="E150" s="18" t="s">
        <v>14</v>
      </c>
      <c r="F150" s="18"/>
      <c r="G150" s="21">
        <f>SUM(G141:G149)</f>
        <v>20.5</v>
      </c>
      <c r="H150" s="21">
        <f>SUM(H141:H149)</f>
        <v>20.5</v>
      </c>
      <c r="I150" s="21">
        <f t="shared" ref="I150" si="23">H150-G150</f>
        <v>0</v>
      </c>
      <c r="J150" s="22"/>
      <c r="K150" s="18"/>
    </row>
    <row r="151" spans="1:11" ht="18.75" customHeight="1" x14ac:dyDescent="0.2">
      <c r="A151" s="61" t="s">
        <v>26</v>
      </c>
      <c r="B151" s="53"/>
      <c r="C151" s="53"/>
      <c r="D151" s="53"/>
      <c r="E151" s="53"/>
      <c r="F151" s="53"/>
      <c r="G151" s="53"/>
      <c r="H151" s="53"/>
      <c r="I151" s="53"/>
      <c r="J151" s="53"/>
      <c r="K151" s="54"/>
    </row>
    <row r="152" spans="1:11" ht="12.75" x14ac:dyDescent="0.2">
      <c r="A152" s="30" t="s">
        <v>12</v>
      </c>
      <c r="B152" s="62" t="s">
        <v>329</v>
      </c>
      <c r="C152" s="53"/>
      <c r="D152" s="53"/>
      <c r="E152" s="53"/>
      <c r="F152" s="53"/>
      <c r="G152" s="53"/>
      <c r="H152" s="53"/>
      <c r="I152" s="53"/>
      <c r="J152" s="53"/>
      <c r="K152" s="54"/>
    </row>
    <row r="153" spans="1:11" ht="27.75" customHeight="1" x14ac:dyDescent="0.2">
      <c r="A153" s="31" t="s">
        <v>13</v>
      </c>
      <c r="B153" s="62" t="s">
        <v>143</v>
      </c>
      <c r="C153" s="53"/>
      <c r="D153" s="53"/>
      <c r="E153" s="53"/>
      <c r="F153" s="53"/>
      <c r="G153" s="53"/>
      <c r="H153" s="53"/>
      <c r="I153" s="53"/>
      <c r="J153" s="53"/>
      <c r="K153" s="54"/>
    </row>
    <row r="154" spans="1:11" ht="12.75" x14ac:dyDescent="0.2">
      <c r="A154" s="46">
        <v>46230</v>
      </c>
      <c r="B154" s="45" t="s">
        <v>59</v>
      </c>
      <c r="C154" s="43" t="s">
        <v>330</v>
      </c>
      <c r="D154" s="44" t="s">
        <v>331</v>
      </c>
      <c r="E154" s="44" t="s">
        <v>54</v>
      </c>
      <c r="F154" s="44" t="s">
        <v>61</v>
      </c>
      <c r="G154" s="44">
        <v>2</v>
      </c>
      <c r="H154" s="44">
        <v>2</v>
      </c>
      <c r="I154" s="44">
        <f t="shared" ref="I154:I160" si="24">H154-G154</f>
        <v>0</v>
      </c>
      <c r="J154" s="44" t="s">
        <v>332</v>
      </c>
      <c r="K154" s="24"/>
    </row>
    <row r="155" spans="1:11" ht="12.75" x14ac:dyDescent="0.2">
      <c r="A155" s="46">
        <v>46230</v>
      </c>
      <c r="B155" s="45" t="s">
        <v>59</v>
      </c>
      <c r="C155" s="43" t="s">
        <v>333</v>
      </c>
      <c r="D155" s="44" t="s">
        <v>334</v>
      </c>
      <c r="E155" s="44" t="s">
        <v>54</v>
      </c>
      <c r="F155" s="44" t="s">
        <v>58</v>
      </c>
      <c r="G155" s="44">
        <v>3</v>
      </c>
      <c r="H155" s="44">
        <v>3</v>
      </c>
      <c r="I155" s="44">
        <f t="shared" si="24"/>
        <v>0</v>
      </c>
      <c r="J155" s="44" t="s">
        <v>203</v>
      </c>
      <c r="K155" s="24"/>
    </row>
    <row r="156" spans="1:11" ht="12.75" x14ac:dyDescent="0.2">
      <c r="A156" s="46">
        <v>46231</v>
      </c>
      <c r="B156" s="45" t="s">
        <v>59</v>
      </c>
      <c r="C156" s="43" t="s">
        <v>335</v>
      </c>
      <c r="D156" s="44" t="s">
        <v>334</v>
      </c>
      <c r="E156" s="44" t="s">
        <v>54</v>
      </c>
      <c r="F156" s="44" t="s">
        <v>58</v>
      </c>
      <c r="G156" s="44">
        <v>3</v>
      </c>
      <c r="H156" s="44">
        <v>3</v>
      </c>
      <c r="I156" s="44">
        <f t="shared" si="24"/>
        <v>0</v>
      </c>
      <c r="J156" s="44" t="s">
        <v>206</v>
      </c>
      <c r="K156" s="24"/>
    </row>
    <row r="157" spans="1:11" ht="12.75" x14ac:dyDescent="0.2">
      <c r="A157" s="46">
        <v>46231</v>
      </c>
      <c r="B157" s="45" t="s">
        <v>59</v>
      </c>
      <c r="C157" s="43" t="s">
        <v>336</v>
      </c>
      <c r="D157" s="44" t="s">
        <v>337</v>
      </c>
      <c r="E157" s="44" t="s">
        <v>54</v>
      </c>
      <c r="F157" s="44" t="s">
        <v>61</v>
      </c>
      <c r="G157" s="44">
        <v>2</v>
      </c>
      <c r="H157" s="44">
        <v>2</v>
      </c>
      <c r="I157" s="44">
        <f t="shared" si="24"/>
        <v>0</v>
      </c>
      <c r="J157" s="44" t="s">
        <v>197</v>
      </c>
      <c r="K157" s="24"/>
    </row>
    <row r="158" spans="1:11" ht="12.75" x14ac:dyDescent="0.2">
      <c r="A158" s="46">
        <v>46233</v>
      </c>
      <c r="B158" s="45" t="s">
        <v>59</v>
      </c>
      <c r="C158" s="43" t="s">
        <v>338</v>
      </c>
      <c r="D158" s="44" t="s">
        <v>339</v>
      </c>
      <c r="E158" s="44" t="s">
        <v>60</v>
      </c>
      <c r="F158" s="44" t="s">
        <v>61</v>
      </c>
      <c r="G158" s="44">
        <v>2.5</v>
      </c>
      <c r="H158" s="44">
        <v>2.5</v>
      </c>
      <c r="I158" s="44">
        <f t="shared" si="24"/>
        <v>0</v>
      </c>
      <c r="J158" s="44"/>
      <c r="K158" s="24"/>
    </row>
    <row r="159" spans="1:11" ht="12.75" x14ac:dyDescent="0.2">
      <c r="A159" s="46">
        <v>46233</v>
      </c>
      <c r="B159" s="45" t="s">
        <v>59</v>
      </c>
      <c r="C159" s="43" t="s">
        <v>340</v>
      </c>
      <c r="D159" s="44" t="s">
        <v>341</v>
      </c>
      <c r="E159" s="44" t="s">
        <v>70</v>
      </c>
      <c r="F159" s="44" t="s">
        <v>61</v>
      </c>
      <c r="G159" s="44">
        <v>2.5</v>
      </c>
      <c r="H159" s="44">
        <v>2.5</v>
      </c>
      <c r="I159" s="44">
        <f t="shared" si="24"/>
        <v>0</v>
      </c>
      <c r="J159" s="44"/>
      <c r="K159" s="24"/>
    </row>
    <row r="160" spans="1:11" ht="12.75" x14ac:dyDescent="0.2">
      <c r="A160" s="46">
        <v>46234</v>
      </c>
      <c r="B160" s="45" t="s">
        <v>59</v>
      </c>
      <c r="C160" s="43" t="s">
        <v>342</v>
      </c>
      <c r="D160" s="44" t="s">
        <v>343</v>
      </c>
      <c r="E160" s="44" t="s">
        <v>54</v>
      </c>
      <c r="F160" s="44" t="s">
        <v>58</v>
      </c>
      <c r="G160" s="44">
        <v>3</v>
      </c>
      <c r="H160" s="44">
        <v>3</v>
      </c>
      <c r="I160" s="44">
        <f t="shared" si="24"/>
        <v>0</v>
      </c>
      <c r="J160" s="44" t="s">
        <v>200</v>
      </c>
      <c r="K160" s="24"/>
    </row>
    <row r="161" spans="1:11" ht="12.75" x14ac:dyDescent="0.2">
      <c r="A161" s="16"/>
      <c r="B161" s="18"/>
      <c r="C161" s="18"/>
      <c r="D161" s="18"/>
      <c r="E161" s="18" t="s">
        <v>14</v>
      </c>
      <c r="F161" s="18"/>
      <c r="G161" s="21">
        <f>SUM(G154:G160)</f>
        <v>18</v>
      </c>
      <c r="H161" s="21">
        <f>SUM(H154:H160)</f>
        <v>18</v>
      </c>
      <c r="I161" s="21">
        <f t="shared" ref="I161" si="25">H161-G161</f>
        <v>0</v>
      </c>
      <c r="J161" s="22"/>
      <c r="K161" s="18"/>
    </row>
    <row r="162" spans="1:11" ht="18.75" customHeight="1" x14ac:dyDescent="0.2">
      <c r="A162" s="72" t="s">
        <v>27</v>
      </c>
      <c r="B162" s="53"/>
      <c r="C162" s="53"/>
      <c r="D162" s="53"/>
      <c r="E162" s="53"/>
      <c r="F162" s="53"/>
      <c r="G162" s="53"/>
      <c r="H162" s="53"/>
      <c r="I162" s="53"/>
      <c r="J162" s="53"/>
      <c r="K162" s="54"/>
    </row>
    <row r="163" spans="1:11" ht="12.75" x14ac:dyDescent="0.2">
      <c r="A163" s="32" t="s">
        <v>12</v>
      </c>
      <c r="B163" s="73" t="s">
        <v>344</v>
      </c>
      <c r="C163" s="53"/>
      <c r="D163" s="53"/>
      <c r="E163" s="53"/>
      <c r="F163" s="53"/>
      <c r="G163" s="53"/>
      <c r="H163" s="53"/>
      <c r="I163" s="53"/>
      <c r="J163" s="53"/>
      <c r="K163" s="54"/>
    </row>
    <row r="164" spans="1:11" ht="27.75" customHeight="1" x14ac:dyDescent="0.2">
      <c r="A164" s="33" t="s">
        <v>13</v>
      </c>
      <c r="B164" s="73" t="s">
        <v>345</v>
      </c>
      <c r="C164" s="53"/>
      <c r="D164" s="53"/>
      <c r="E164" s="53"/>
      <c r="F164" s="53"/>
      <c r="G164" s="53"/>
      <c r="H164" s="53"/>
      <c r="I164" s="53"/>
      <c r="J164" s="53"/>
      <c r="K164" s="54"/>
    </row>
    <row r="165" spans="1:11" ht="12.75" x14ac:dyDescent="0.2">
      <c r="A165" s="46">
        <v>46237</v>
      </c>
      <c r="B165" s="45" t="s">
        <v>59</v>
      </c>
      <c r="C165" s="43" t="s">
        <v>346</v>
      </c>
      <c r="D165" s="44" t="s">
        <v>347</v>
      </c>
      <c r="E165" s="44" t="s">
        <v>66</v>
      </c>
      <c r="F165" s="44" t="s">
        <v>64</v>
      </c>
      <c r="G165" s="44">
        <v>1</v>
      </c>
      <c r="H165" s="44">
        <v>1</v>
      </c>
      <c r="I165" s="44">
        <f t="shared" ref="I165:I172" si="26">H165-G165</f>
        <v>0</v>
      </c>
      <c r="J165" s="44" t="s">
        <v>291</v>
      </c>
      <c r="K165" s="47"/>
    </row>
    <row r="166" spans="1:11" ht="12.75" x14ac:dyDescent="0.2">
      <c r="A166" s="46">
        <v>46237</v>
      </c>
      <c r="B166" s="45" t="s">
        <v>59</v>
      </c>
      <c r="C166" s="43" t="s">
        <v>348</v>
      </c>
      <c r="D166" s="44" t="s">
        <v>349</v>
      </c>
      <c r="E166" s="44" t="s">
        <v>57</v>
      </c>
      <c r="F166" s="44" t="s">
        <v>52</v>
      </c>
      <c r="G166" s="44">
        <v>3</v>
      </c>
      <c r="H166" s="44">
        <v>3</v>
      </c>
      <c r="I166" s="44">
        <f t="shared" si="26"/>
        <v>0</v>
      </c>
      <c r="J166" s="44" t="s">
        <v>296</v>
      </c>
      <c r="K166" s="47"/>
    </row>
    <row r="167" spans="1:11" ht="12.75" x14ac:dyDescent="0.2">
      <c r="A167" s="46">
        <v>46238</v>
      </c>
      <c r="B167" s="45" t="s">
        <v>59</v>
      </c>
      <c r="C167" s="43" t="s">
        <v>350</v>
      </c>
      <c r="D167" s="44" t="s">
        <v>351</v>
      </c>
      <c r="E167" s="44" t="s">
        <v>60</v>
      </c>
      <c r="F167" s="44" t="s">
        <v>52</v>
      </c>
      <c r="G167" s="44">
        <v>3</v>
      </c>
      <c r="H167" s="44">
        <v>3</v>
      </c>
      <c r="I167" s="44">
        <f t="shared" si="26"/>
        <v>0</v>
      </c>
      <c r="J167" s="44" t="s">
        <v>352</v>
      </c>
      <c r="K167" s="47"/>
    </row>
    <row r="168" spans="1:11" ht="12.75" x14ac:dyDescent="0.2">
      <c r="A168" s="46">
        <v>46238</v>
      </c>
      <c r="B168" s="45" t="s">
        <v>59</v>
      </c>
      <c r="C168" s="43" t="s">
        <v>353</v>
      </c>
      <c r="D168" s="44" t="s">
        <v>354</v>
      </c>
      <c r="E168" s="44" t="s">
        <v>57</v>
      </c>
      <c r="F168" s="44" t="s">
        <v>127</v>
      </c>
      <c r="G168" s="44">
        <v>1.5</v>
      </c>
      <c r="H168" s="44">
        <v>1.5</v>
      </c>
      <c r="I168" s="44">
        <f t="shared" si="26"/>
        <v>0</v>
      </c>
      <c r="J168" s="44" t="s">
        <v>286</v>
      </c>
      <c r="K168" s="47" t="s">
        <v>355</v>
      </c>
    </row>
    <row r="169" spans="1:11" ht="12.75" x14ac:dyDescent="0.2">
      <c r="A169" s="46">
        <v>46239</v>
      </c>
      <c r="B169" s="45" t="s">
        <v>59</v>
      </c>
      <c r="C169" s="43" t="s">
        <v>356</v>
      </c>
      <c r="D169" s="44" t="s">
        <v>357</v>
      </c>
      <c r="E169" s="44" t="s">
        <v>57</v>
      </c>
      <c r="F169" s="44" t="s">
        <v>52</v>
      </c>
      <c r="G169" s="44">
        <v>3</v>
      </c>
      <c r="H169" s="44">
        <v>3</v>
      </c>
      <c r="I169" s="44">
        <f t="shared" si="26"/>
        <v>0</v>
      </c>
      <c r="J169" s="44" t="s">
        <v>296</v>
      </c>
      <c r="K169" s="47"/>
    </row>
    <row r="170" spans="1:11" ht="12.75" x14ac:dyDescent="0.2">
      <c r="A170" s="46">
        <v>46239</v>
      </c>
      <c r="B170" s="45" t="s">
        <v>59</v>
      </c>
      <c r="C170" s="43" t="s">
        <v>358</v>
      </c>
      <c r="D170" s="44" t="s">
        <v>357</v>
      </c>
      <c r="E170" s="44" t="s">
        <v>57</v>
      </c>
      <c r="F170" s="44" t="s">
        <v>52</v>
      </c>
      <c r="G170" s="44">
        <v>2</v>
      </c>
      <c r="H170" s="44">
        <v>2</v>
      </c>
      <c r="I170" s="44">
        <f t="shared" si="26"/>
        <v>0</v>
      </c>
      <c r="J170" s="44" t="s">
        <v>296</v>
      </c>
      <c r="K170" s="47"/>
    </row>
    <row r="171" spans="1:11" ht="12.75" x14ac:dyDescent="0.2">
      <c r="A171" s="46">
        <v>46240</v>
      </c>
      <c r="B171" s="45" t="s">
        <v>59</v>
      </c>
      <c r="C171" s="43" t="s">
        <v>359</v>
      </c>
      <c r="D171" s="44" t="s">
        <v>360</v>
      </c>
      <c r="E171" s="44" t="s">
        <v>54</v>
      </c>
      <c r="F171" s="44" t="s">
        <v>52</v>
      </c>
      <c r="G171" s="44">
        <v>2</v>
      </c>
      <c r="H171" s="44">
        <v>2</v>
      </c>
      <c r="I171" s="44">
        <f t="shared" si="26"/>
        <v>0</v>
      </c>
      <c r="J171" s="44" t="s">
        <v>361</v>
      </c>
      <c r="K171" s="47"/>
    </row>
    <row r="172" spans="1:11" ht="12.75" x14ac:dyDescent="0.2">
      <c r="A172" s="46">
        <v>46240</v>
      </c>
      <c r="B172" s="45" t="s">
        <v>59</v>
      </c>
      <c r="C172" s="43" t="s">
        <v>362</v>
      </c>
      <c r="D172" s="44" t="s">
        <v>363</v>
      </c>
      <c r="E172" s="44" t="s">
        <v>57</v>
      </c>
      <c r="F172" s="44" t="s">
        <v>52</v>
      </c>
      <c r="G172" s="44">
        <v>2</v>
      </c>
      <c r="H172" s="44">
        <v>2</v>
      </c>
      <c r="I172" s="44">
        <f t="shared" si="26"/>
        <v>0</v>
      </c>
      <c r="J172" s="44"/>
      <c r="K172" s="47"/>
    </row>
    <row r="173" spans="1:11" ht="12.75" x14ac:dyDescent="0.2">
      <c r="A173" s="16"/>
      <c r="B173" s="18"/>
      <c r="C173" s="18"/>
      <c r="D173" s="18"/>
      <c r="E173" s="18" t="s">
        <v>14</v>
      </c>
      <c r="F173" s="18"/>
      <c r="G173" s="21">
        <f>SUM(G165:G172)</f>
        <v>17.5</v>
      </c>
      <c r="H173" s="21">
        <f>SUM(H165:H172)</f>
        <v>17.5</v>
      </c>
      <c r="I173" s="21">
        <f t="shared" ref="I173" si="27">H173-G173</f>
        <v>0</v>
      </c>
      <c r="J173" s="22"/>
      <c r="K173" s="18"/>
    </row>
    <row r="174" spans="1:11" ht="18.75" customHeight="1" x14ac:dyDescent="0.2">
      <c r="A174" s="74" t="s">
        <v>28</v>
      </c>
      <c r="B174" s="53"/>
      <c r="C174" s="53"/>
      <c r="D174" s="53"/>
      <c r="E174" s="53"/>
      <c r="F174" s="53"/>
      <c r="G174" s="53"/>
      <c r="H174" s="53"/>
      <c r="I174" s="53"/>
      <c r="J174" s="53"/>
      <c r="K174" s="54"/>
    </row>
    <row r="175" spans="1:11" ht="12.75" x14ac:dyDescent="0.2">
      <c r="A175" s="34" t="s">
        <v>12</v>
      </c>
      <c r="B175" s="75" t="s">
        <v>364</v>
      </c>
      <c r="C175" s="53"/>
      <c r="D175" s="53"/>
      <c r="E175" s="53"/>
      <c r="F175" s="53"/>
      <c r="G175" s="53"/>
      <c r="H175" s="53"/>
      <c r="I175" s="53"/>
      <c r="J175" s="53"/>
      <c r="K175" s="54"/>
    </row>
    <row r="176" spans="1:11" ht="28.5" customHeight="1" x14ac:dyDescent="0.2">
      <c r="A176" s="35" t="s">
        <v>13</v>
      </c>
      <c r="B176" s="75" t="s">
        <v>365</v>
      </c>
      <c r="C176" s="53"/>
      <c r="D176" s="53"/>
      <c r="E176" s="53"/>
      <c r="F176" s="53"/>
      <c r="G176" s="53"/>
      <c r="H176" s="53"/>
      <c r="I176" s="53"/>
      <c r="J176" s="53"/>
      <c r="K176" s="54"/>
    </row>
    <row r="177" spans="1:11" ht="12.75" x14ac:dyDescent="0.2">
      <c r="A177" s="46">
        <v>46244</v>
      </c>
      <c r="B177" s="45" t="s">
        <v>59</v>
      </c>
      <c r="C177" s="43" t="s">
        <v>366</v>
      </c>
      <c r="D177" s="44" t="s">
        <v>367</v>
      </c>
      <c r="E177" s="44" t="s">
        <v>60</v>
      </c>
      <c r="F177" s="44" t="s">
        <v>52</v>
      </c>
      <c r="G177" s="44">
        <v>2</v>
      </c>
      <c r="H177" s="44">
        <v>2</v>
      </c>
      <c r="I177" s="44">
        <f t="shared" ref="I177:I185" si="28">H177-G177</f>
        <v>0</v>
      </c>
      <c r="J177" s="44" t="s">
        <v>352</v>
      </c>
      <c r="K177" s="47"/>
    </row>
    <row r="178" spans="1:11" ht="12.75" x14ac:dyDescent="0.2">
      <c r="A178" s="46">
        <v>46244</v>
      </c>
      <c r="B178" s="45" t="s">
        <v>59</v>
      </c>
      <c r="C178" s="43" t="s">
        <v>368</v>
      </c>
      <c r="D178" s="44" t="s">
        <v>369</v>
      </c>
      <c r="E178" s="44" t="s">
        <v>57</v>
      </c>
      <c r="F178" s="44" t="s">
        <v>52</v>
      </c>
      <c r="G178" s="44">
        <v>2</v>
      </c>
      <c r="H178" s="44">
        <v>2</v>
      </c>
      <c r="I178" s="44">
        <f t="shared" si="28"/>
        <v>0</v>
      </c>
      <c r="J178" s="44" t="s">
        <v>134</v>
      </c>
      <c r="K178" s="47"/>
    </row>
    <row r="179" spans="1:11" ht="12.75" x14ac:dyDescent="0.2">
      <c r="A179" s="46">
        <v>46245</v>
      </c>
      <c r="B179" s="45" t="s">
        <v>59</v>
      </c>
      <c r="C179" s="43" t="s">
        <v>370</v>
      </c>
      <c r="D179" s="44" t="s">
        <v>371</v>
      </c>
      <c r="E179" s="44" t="s">
        <v>57</v>
      </c>
      <c r="F179" s="44" t="s">
        <v>52</v>
      </c>
      <c r="G179" s="44">
        <v>4</v>
      </c>
      <c r="H179" s="44">
        <v>4</v>
      </c>
      <c r="I179" s="44">
        <f t="shared" si="28"/>
        <v>0</v>
      </c>
      <c r="J179" s="44" t="s">
        <v>372</v>
      </c>
      <c r="K179" s="47"/>
    </row>
    <row r="180" spans="1:11" ht="12.75" x14ac:dyDescent="0.2">
      <c r="A180" s="46">
        <v>46245</v>
      </c>
      <c r="B180" s="45" t="s">
        <v>59</v>
      </c>
      <c r="C180" s="43" t="s">
        <v>373</v>
      </c>
      <c r="D180" s="44" t="s">
        <v>374</v>
      </c>
      <c r="E180" s="44" t="s">
        <v>57</v>
      </c>
      <c r="F180" s="44" t="s">
        <v>52</v>
      </c>
      <c r="G180" s="44">
        <v>1.5</v>
      </c>
      <c r="H180" s="44">
        <v>1.5</v>
      </c>
      <c r="I180" s="44">
        <f t="shared" si="28"/>
        <v>0</v>
      </c>
      <c r="J180" s="44"/>
      <c r="K180" s="47"/>
    </row>
    <row r="181" spans="1:11" ht="12.75" x14ac:dyDescent="0.2">
      <c r="A181" s="46">
        <v>46246</v>
      </c>
      <c r="B181" s="45" t="s">
        <v>59</v>
      </c>
      <c r="C181" s="43" t="s">
        <v>375</v>
      </c>
      <c r="D181" s="44" t="s">
        <v>376</v>
      </c>
      <c r="E181" s="44" t="s">
        <v>57</v>
      </c>
      <c r="F181" s="44" t="s">
        <v>52</v>
      </c>
      <c r="G181" s="44">
        <v>2.5</v>
      </c>
      <c r="H181" s="44">
        <v>2.5</v>
      </c>
      <c r="I181" s="44">
        <f t="shared" si="28"/>
        <v>0</v>
      </c>
      <c r="J181" s="44" t="s">
        <v>377</v>
      </c>
      <c r="K181" s="47"/>
    </row>
    <row r="182" spans="1:11" ht="12.75" x14ac:dyDescent="0.2">
      <c r="A182" s="46">
        <v>46246</v>
      </c>
      <c r="B182" s="45" t="s">
        <v>59</v>
      </c>
      <c r="C182" s="43" t="s">
        <v>378</v>
      </c>
      <c r="D182" s="44" t="s">
        <v>379</v>
      </c>
      <c r="E182" s="44" t="s">
        <v>60</v>
      </c>
      <c r="F182" s="44" t="s">
        <v>52</v>
      </c>
      <c r="G182" s="44">
        <v>2</v>
      </c>
      <c r="H182" s="44">
        <v>2</v>
      </c>
      <c r="I182" s="44">
        <f t="shared" si="28"/>
        <v>0</v>
      </c>
      <c r="J182" s="44" t="s">
        <v>380</v>
      </c>
      <c r="K182" s="47"/>
    </row>
    <row r="183" spans="1:11" ht="12.75" x14ac:dyDescent="0.2">
      <c r="A183" s="46">
        <v>46247</v>
      </c>
      <c r="B183" s="45" t="s">
        <v>59</v>
      </c>
      <c r="C183" s="43" t="s">
        <v>381</v>
      </c>
      <c r="D183" s="44" t="s">
        <v>382</v>
      </c>
      <c r="E183" s="44" t="s">
        <v>70</v>
      </c>
      <c r="F183" s="44" t="s">
        <v>52</v>
      </c>
      <c r="G183" s="44">
        <v>2</v>
      </c>
      <c r="H183" s="44">
        <v>2</v>
      </c>
      <c r="I183" s="44">
        <f t="shared" si="28"/>
        <v>0</v>
      </c>
      <c r="J183" s="44" t="s">
        <v>383</v>
      </c>
      <c r="K183" s="47"/>
    </row>
    <row r="184" spans="1:11" s="42" customFormat="1" ht="12.75" x14ac:dyDescent="0.2">
      <c r="A184" s="46">
        <v>46247</v>
      </c>
      <c r="B184" s="49" t="s">
        <v>59</v>
      </c>
      <c r="C184" s="48" t="s">
        <v>499</v>
      </c>
      <c r="D184" s="39" t="s">
        <v>504</v>
      </c>
      <c r="E184" s="39" t="s">
        <v>66</v>
      </c>
      <c r="F184" s="39" t="s">
        <v>75</v>
      </c>
      <c r="G184" s="44">
        <v>0.5</v>
      </c>
      <c r="H184" s="44">
        <v>0.5</v>
      </c>
      <c r="I184" s="44">
        <f t="shared" si="28"/>
        <v>0</v>
      </c>
      <c r="J184" s="44"/>
      <c r="K184" s="47"/>
    </row>
    <row r="185" spans="1:11" ht="12.75" x14ac:dyDescent="0.2">
      <c r="A185" s="46">
        <v>46247</v>
      </c>
      <c r="B185" s="45" t="s">
        <v>59</v>
      </c>
      <c r="C185" s="43" t="s">
        <v>384</v>
      </c>
      <c r="D185" s="44" t="s">
        <v>385</v>
      </c>
      <c r="E185" s="44" t="s">
        <v>68</v>
      </c>
      <c r="F185" s="44" t="s">
        <v>73</v>
      </c>
      <c r="G185" s="44">
        <v>2</v>
      </c>
      <c r="H185" s="44">
        <v>2</v>
      </c>
      <c r="I185" s="44">
        <f t="shared" si="28"/>
        <v>0</v>
      </c>
      <c r="J185" s="44" t="s">
        <v>386</v>
      </c>
      <c r="K185" s="47"/>
    </row>
    <row r="186" spans="1:11" ht="12.75" x14ac:dyDescent="0.2">
      <c r="A186" s="16"/>
      <c r="B186" s="18"/>
      <c r="C186" s="18"/>
      <c r="D186" s="18"/>
      <c r="E186" s="18" t="s">
        <v>14</v>
      </c>
      <c r="F186" s="18"/>
      <c r="G186" s="21">
        <f>SUM(G177:G185)</f>
        <v>18.5</v>
      </c>
      <c r="H186" s="21">
        <f>SUM(H177:H185)</f>
        <v>18.5</v>
      </c>
      <c r="I186" s="21">
        <f t="shared" ref="I186" si="29">H186-G186</f>
        <v>0</v>
      </c>
      <c r="J186" s="22"/>
      <c r="K186" s="18"/>
    </row>
    <row r="187" spans="1:11" ht="12.75" x14ac:dyDescent="0.2">
      <c r="A187" s="65" t="s">
        <v>29</v>
      </c>
      <c r="B187" s="53"/>
      <c r="C187" s="53"/>
      <c r="D187" s="53"/>
      <c r="E187" s="53"/>
      <c r="F187" s="53"/>
      <c r="G187" s="53"/>
      <c r="H187" s="53"/>
      <c r="I187" s="53"/>
      <c r="J187" s="53"/>
      <c r="K187" s="54"/>
    </row>
    <row r="188" spans="1:11" ht="12.75" x14ac:dyDescent="0.2">
      <c r="A188" s="36" t="s">
        <v>12</v>
      </c>
      <c r="B188" s="76" t="s">
        <v>387</v>
      </c>
      <c r="C188" s="51"/>
      <c r="D188" s="51"/>
      <c r="E188" s="51"/>
      <c r="F188" s="51"/>
      <c r="G188" s="51"/>
      <c r="H188" s="51"/>
      <c r="I188" s="51"/>
      <c r="J188" s="51"/>
      <c r="K188" s="77"/>
    </row>
    <row r="189" spans="1:11" ht="27.75" customHeight="1" x14ac:dyDescent="0.2">
      <c r="A189" s="37" t="s">
        <v>13</v>
      </c>
      <c r="B189" s="78" t="s">
        <v>388</v>
      </c>
      <c r="C189" s="51"/>
      <c r="D189" s="51"/>
      <c r="E189" s="51"/>
      <c r="F189" s="51"/>
      <c r="G189" s="51"/>
      <c r="H189" s="51"/>
      <c r="I189" s="51"/>
      <c r="J189" s="51"/>
      <c r="K189" s="77"/>
    </row>
    <row r="190" spans="1:11" ht="12.75" x14ac:dyDescent="0.2">
      <c r="A190" s="46">
        <v>46258</v>
      </c>
      <c r="B190" s="45" t="s">
        <v>59</v>
      </c>
      <c r="C190" s="43" t="s">
        <v>389</v>
      </c>
      <c r="D190" s="44" t="s">
        <v>390</v>
      </c>
      <c r="E190" s="44" t="s">
        <v>48</v>
      </c>
      <c r="F190" s="44" t="s">
        <v>52</v>
      </c>
      <c r="G190" s="44">
        <v>2</v>
      </c>
      <c r="H190" s="44">
        <v>2</v>
      </c>
      <c r="I190" s="44">
        <f t="shared" ref="I190:I198" si="30">H190-G190</f>
        <v>0</v>
      </c>
      <c r="J190" s="44"/>
      <c r="K190" s="47"/>
    </row>
    <row r="191" spans="1:11" ht="12.75" x14ac:dyDescent="0.2">
      <c r="A191" s="46">
        <v>46258</v>
      </c>
      <c r="B191" s="45" t="s">
        <v>59</v>
      </c>
      <c r="C191" s="43" t="s">
        <v>391</v>
      </c>
      <c r="D191" s="44" t="s">
        <v>392</v>
      </c>
      <c r="E191" s="44" t="s">
        <v>51</v>
      </c>
      <c r="F191" s="44" t="s">
        <v>69</v>
      </c>
      <c r="G191" s="44">
        <v>3</v>
      </c>
      <c r="H191" s="44">
        <v>3</v>
      </c>
      <c r="I191" s="44">
        <f t="shared" si="30"/>
        <v>0</v>
      </c>
      <c r="J191" s="39"/>
      <c r="K191" s="39" t="s">
        <v>510</v>
      </c>
    </row>
    <row r="192" spans="1:11" ht="12.75" x14ac:dyDescent="0.2">
      <c r="A192" s="46">
        <v>46259</v>
      </c>
      <c r="B192" s="45" t="s">
        <v>59</v>
      </c>
      <c r="C192" s="43" t="s">
        <v>393</v>
      </c>
      <c r="D192" s="44" t="s">
        <v>394</v>
      </c>
      <c r="E192" s="44" t="s">
        <v>51</v>
      </c>
      <c r="F192" s="44" t="s">
        <v>58</v>
      </c>
      <c r="G192" s="44">
        <v>3</v>
      </c>
      <c r="H192" s="44">
        <v>3</v>
      </c>
      <c r="I192" s="44">
        <f t="shared" si="30"/>
        <v>0</v>
      </c>
      <c r="J192" s="44"/>
      <c r="K192" s="47"/>
    </row>
    <row r="193" spans="1:11" ht="12.75" x14ac:dyDescent="0.2">
      <c r="A193" s="46">
        <v>46259</v>
      </c>
      <c r="B193" s="45" t="s">
        <v>59</v>
      </c>
      <c r="C193" s="43" t="s">
        <v>395</v>
      </c>
      <c r="D193" s="44" t="s">
        <v>394</v>
      </c>
      <c r="E193" s="44" t="s">
        <v>51</v>
      </c>
      <c r="F193" s="44" t="s">
        <v>58</v>
      </c>
      <c r="G193" s="44">
        <v>2</v>
      </c>
      <c r="H193" s="44">
        <v>2</v>
      </c>
      <c r="I193" s="44">
        <f t="shared" si="30"/>
        <v>0</v>
      </c>
      <c r="J193" s="44"/>
      <c r="K193" s="47"/>
    </row>
    <row r="194" spans="1:11" ht="12.75" x14ac:dyDescent="0.2">
      <c r="A194" s="46">
        <v>46261</v>
      </c>
      <c r="B194" s="45" t="s">
        <v>59</v>
      </c>
      <c r="C194" s="43" t="s">
        <v>396</v>
      </c>
      <c r="D194" s="44" t="s">
        <v>397</v>
      </c>
      <c r="E194" s="44" t="s">
        <v>57</v>
      </c>
      <c r="F194" s="44" t="s">
        <v>52</v>
      </c>
      <c r="G194" s="44">
        <v>2.5</v>
      </c>
      <c r="H194" s="44">
        <v>2.5</v>
      </c>
      <c r="I194" s="44">
        <f t="shared" si="30"/>
        <v>0</v>
      </c>
      <c r="J194" s="44" t="s">
        <v>134</v>
      </c>
      <c r="K194" s="47"/>
    </row>
    <row r="195" spans="1:11" ht="12.75" x14ac:dyDescent="0.2">
      <c r="A195" s="46">
        <v>46261</v>
      </c>
      <c r="B195" s="45" t="s">
        <v>59</v>
      </c>
      <c r="C195" s="43" t="s">
        <v>398</v>
      </c>
      <c r="D195" s="44" t="s">
        <v>399</v>
      </c>
      <c r="E195" s="44" t="s">
        <v>57</v>
      </c>
      <c r="F195" s="44" t="s">
        <v>127</v>
      </c>
      <c r="G195" s="44">
        <v>1.5</v>
      </c>
      <c r="H195" s="44">
        <v>1.5</v>
      </c>
      <c r="I195" s="44">
        <f t="shared" si="30"/>
        <v>0</v>
      </c>
      <c r="J195" s="44"/>
      <c r="K195" s="47" t="s">
        <v>400</v>
      </c>
    </row>
    <row r="196" spans="1:11" s="42" customFormat="1" ht="12.75" x14ac:dyDescent="0.2">
      <c r="A196" s="46">
        <v>46261</v>
      </c>
      <c r="B196" s="49" t="s">
        <v>59</v>
      </c>
      <c r="C196" s="48" t="s">
        <v>499</v>
      </c>
      <c r="D196" s="44" t="s">
        <v>505</v>
      </c>
      <c r="E196" s="39" t="s">
        <v>66</v>
      </c>
      <c r="F196" s="39" t="s">
        <v>75</v>
      </c>
      <c r="G196" s="44">
        <v>0.5</v>
      </c>
      <c r="H196" s="44">
        <v>0.5</v>
      </c>
      <c r="I196" s="44">
        <f t="shared" si="30"/>
        <v>0</v>
      </c>
      <c r="J196" s="44"/>
      <c r="K196" s="47" t="s">
        <v>514</v>
      </c>
    </row>
    <row r="197" spans="1:11" ht="12.75" x14ac:dyDescent="0.2">
      <c r="A197" s="46">
        <v>46262</v>
      </c>
      <c r="B197" s="45" t="s">
        <v>59</v>
      </c>
      <c r="C197" s="43" t="s">
        <v>401</v>
      </c>
      <c r="D197" s="44" t="s">
        <v>402</v>
      </c>
      <c r="E197" s="44" t="s">
        <v>54</v>
      </c>
      <c r="F197" s="44" t="s">
        <v>61</v>
      </c>
      <c r="G197" s="44">
        <v>2</v>
      </c>
      <c r="H197" s="44">
        <v>2</v>
      </c>
      <c r="I197" s="44">
        <f t="shared" si="30"/>
        <v>0</v>
      </c>
      <c r="J197" s="44" t="s">
        <v>206</v>
      </c>
      <c r="K197" s="47"/>
    </row>
    <row r="198" spans="1:11" ht="12.75" x14ac:dyDescent="0.2">
      <c r="A198" s="46">
        <v>46262</v>
      </c>
      <c r="B198" s="45" t="s">
        <v>59</v>
      </c>
      <c r="C198" s="43" t="s">
        <v>403</v>
      </c>
      <c r="D198" s="44" t="s">
        <v>404</v>
      </c>
      <c r="E198" s="44" t="s">
        <v>57</v>
      </c>
      <c r="F198" s="44" t="s">
        <v>61</v>
      </c>
      <c r="G198" s="44">
        <v>2</v>
      </c>
      <c r="H198" s="44">
        <v>2</v>
      </c>
      <c r="I198" s="44">
        <f t="shared" si="30"/>
        <v>0</v>
      </c>
      <c r="J198" s="44" t="s">
        <v>155</v>
      </c>
      <c r="K198" s="47"/>
    </row>
    <row r="199" spans="1:11" ht="12.75" x14ac:dyDescent="0.2">
      <c r="A199" s="16"/>
      <c r="B199" s="18"/>
      <c r="C199" s="18"/>
      <c r="D199" s="18"/>
      <c r="E199" s="18" t="s">
        <v>14</v>
      </c>
      <c r="F199" s="18"/>
      <c r="G199" s="21">
        <f>SUM(G190:G198)</f>
        <v>18.5</v>
      </c>
      <c r="H199" s="21">
        <f>SUM(H190:H198)</f>
        <v>18.5</v>
      </c>
      <c r="I199" s="21">
        <f t="shared" ref="I199" si="31">H199-G199</f>
        <v>0</v>
      </c>
      <c r="J199" s="22"/>
      <c r="K199" s="18"/>
    </row>
    <row r="200" spans="1:11" s="42" customFormat="1" ht="18.75" customHeight="1" x14ac:dyDescent="0.2">
      <c r="A200" s="74" t="s">
        <v>405</v>
      </c>
      <c r="B200" s="53"/>
      <c r="C200" s="53"/>
      <c r="D200" s="53"/>
      <c r="E200" s="53"/>
      <c r="F200" s="53"/>
      <c r="G200" s="53"/>
      <c r="H200" s="53"/>
      <c r="I200" s="53"/>
      <c r="J200" s="53"/>
      <c r="K200" s="54"/>
    </row>
    <row r="201" spans="1:11" s="42" customFormat="1" ht="12.75" x14ac:dyDescent="0.2">
      <c r="A201" s="34" t="s">
        <v>12</v>
      </c>
      <c r="B201" s="75" t="s">
        <v>409</v>
      </c>
      <c r="C201" s="53"/>
      <c r="D201" s="53"/>
      <c r="E201" s="53"/>
      <c r="F201" s="53"/>
      <c r="G201" s="53"/>
      <c r="H201" s="53"/>
      <c r="I201" s="53"/>
      <c r="J201" s="53"/>
      <c r="K201" s="54"/>
    </row>
    <row r="202" spans="1:11" s="42" customFormat="1" ht="28.5" customHeight="1" x14ac:dyDescent="0.2">
      <c r="A202" s="35" t="s">
        <v>13</v>
      </c>
      <c r="B202" s="75" t="s">
        <v>410</v>
      </c>
      <c r="C202" s="53"/>
      <c r="D202" s="53"/>
      <c r="E202" s="53"/>
      <c r="F202" s="53"/>
      <c r="G202" s="53"/>
      <c r="H202" s="53"/>
      <c r="I202" s="53"/>
      <c r="J202" s="53"/>
      <c r="K202" s="54"/>
    </row>
    <row r="203" spans="1:11" s="42" customFormat="1" ht="12.75" x14ac:dyDescent="0.2">
      <c r="A203" s="46">
        <v>46265</v>
      </c>
      <c r="B203" s="45" t="s">
        <v>59</v>
      </c>
      <c r="C203" s="43" t="s">
        <v>411</v>
      </c>
      <c r="D203" s="44" t="s">
        <v>412</v>
      </c>
      <c r="E203" s="44" t="s">
        <v>51</v>
      </c>
      <c r="F203" s="44" t="s">
        <v>69</v>
      </c>
      <c r="G203" s="44">
        <v>3</v>
      </c>
      <c r="H203" s="44">
        <v>3</v>
      </c>
      <c r="I203" s="44">
        <f t="shared" ref="I203:I210" si="32">H203-G203</f>
        <v>0</v>
      </c>
      <c r="J203" s="44"/>
      <c r="K203" s="39" t="s">
        <v>510</v>
      </c>
    </row>
    <row r="204" spans="1:11" s="42" customFormat="1" ht="12.75" x14ac:dyDescent="0.2">
      <c r="A204" s="46">
        <v>46265</v>
      </c>
      <c r="B204" s="45" t="s">
        <v>59</v>
      </c>
      <c r="C204" s="43" t="s">
        <v>413</v>
      </c>
      <c r="D204" s="44" t="s">
        <v>394</v>
      </c>
      <c r="E204" s="44" t="s">
        <v>51</v>
      </c>
      <c r="F204" s="44" t="s">
        <v>58</v>
      </c>
      <c r="G204" s="44">
        <v>3</v>
      </c>
      <c r="H204" s="44">
        <v>3</v>
      </c>
      <c r="I204" s="44">
        <f t="shared" si="32"/>
        <v>0</v>
      </c>
      <c r="J204" s="44"/>
      <c r="K204" s="47"/>
    </row>
    <row r="205" spans="1:11" s="42" customFormat="1" ht="12.75" x14ac:dyDescent="0.2">
      <c r="A205" s="46">
        <v>46266</v>
      </c>
      <c r="B205" s="45" t="s">
        <v>59</v>
      </c>
      <c r="C205" s="43" t="s">
        <v>414</v>
      </c>
      <c r="D205" s="44" t="s">
        <v>394</v>
      </c>
      <c r="E205" s="44" t="s">
        <v>51</v>
      </c>
      <c r="F205" s="44" t="s">
        <v>58</v>
      </c>
      <c r="G205" s="44">
        <v>2</v>
      </c>
      <c r="H205" s="44">
        <v>2</v>
      </c>
      <c r="I205" s="44">
        <f t="shared" si="32"/>
        <v>0</v>
      </c>
      <c r="J205" s="44"/>
      <c r="K205" s="47"/>
    </row>
    <row r="206" spans="1:11" s="42" customFormat="1" ht="12.75" x14ac:dyDescent="0.2">
      <c r="A206" s="46">
        <v>46266</v>
      </c>
      <c r="B206" s="45" t="s">
        <v>59</v>
      </c>
      <c r="C206" s="43" t="s">
        <v>415</v>
      </c>
      <c r="D206" s="44" t="s">
        <v>416</v>
      </c>
      <c r="E206" s="44" t="s">
        <v>57</v>
      </c>
      <c r="F206" s="44" t="s">
        <v>52</v>
      </c>
      <c r="G206" s="44">
        <v>1.5</v>
      </c>
      <c r="H206" s="44">
        <v>1.5</v>
      </c>
      <c r="I206" s="44">
        <f t="shared" si="32"/>
        <v>0</v>
      </c>
      <c r="J206" s="44" t="s">
        <v>417</v>
      </c>
      <c r="K206" s="47"/>
    </row>
    <row r="207" spans="1:11" s="42" customFormat="1" ht="12.75" x14ac:dyDescent="0.2">
      <c r="A207" s="46">
        <v>46267</v>
      </c>
      <c r="B207" s="45" t="s">
        <v>59</v>
      </c>
      <c r="C207" s="43" t="s">
        <v>418</v>
      </c>
      <c r="D207" s="44" t="s">
        <v>419</v>
      </c>
      <c r="E207" s="44" t="s">
        <v>57</v>
      </c>
      <c r="F207" s="44" t="s">
        <v>52</v>
      </c>
      <c r="G207" s="44">
        <v>3</v>
      </c>
      <c r="H207" s="44">
        <v>3</v>
      </c>
      <c r="I207" s="44">
        <f t="shared" si="32"/>
        <v>0</v>
      </c>
      <c r="J207" s="44" t="s">
        <v>420</v>
      </c>
      <c r="K207" s="47"/>
    </row>
    <row r="208" spans="1:11" s="42" customFormat="1" ht="12.75" x14ac:dyDescent="0.2">
      <c r="A208" s="46">
        <v>46267</v>
      </c>
      <c r="B208" s="45" t="s">
        <v>59</v>
      </c>
      <c r="C208" s="43" t="s">
        <v>421</v>
      </c>
      <c r="D208" s="44" t="s">
        <v>422</v>
      </c>
      <c r="E208" s="44" t="s">
        <v>60</v>
      </c>
      <c r="F208" s="44" t="s">
        <v>61</v>
      </c>
      <c r="G208" s="44">
        <v>2.5</v>
      </c>
      <c r="H208" s="44">
        <v>2.5</v>
      </c>
      <c r="I208" s="44">
        <f t="shared" si="32"/>
        <v>0</v>
      </c>
      <c r="J208" s="44"/>
      <c r="K208" s="47"/>
    </row>
    <row r="209" spans="1:11" s="42" customFormat="1" ht="12.75" x14ac:dyDescent="0.2">
      <c r="A209" s="46">
        <v>46268</v>
      </c>
      <c r="B209" s="45" t="s">
        <v>59</v>
      </c>
      <c r="C209" s="43" t="s">
        <v>423</v>
      </c>
      <c r="D209" s="44" t="s">
        <v>424</v>
      </c>
      <c r="E209" s="44" t="s">
        <v>54</v>
      </c>
      <c r="F209" s="44" t="s">
        <v>61</v>
      </c>
      <c r="G209" s="44">
        <v>2</v>
      </c>
      <c r="H209" s="44">
        <v>2</v>
      </c>
      <c r="I209" s="44">
        <f t="shared" si="32"/>
        <v>0</v>
      </c>
      <c r="J209" s="44" t="s">
        <v>425</v>
      </c>
      <c r="K209" s="47"/>
    </row>
    <row r="210" spans="1:11" s="42" customFormat="1" ht="12.75" x14ac:dyDescent="0.2">
      <c r="A210" s="46">
        <v>46268</v>
      </c>
      <c r="B210" s="45" t="s">
        <v>59</v>
      </c>
      <c r="C210" s="43" t="s">
        <v>426</v>
      </c>
      <c r="D210" s="44" t="s">
        <v>116</v>
      </c>
      <c r="E210" s="44" t="s">
        <v>54</v>
      </c>
      <c r="F210" s="44" t="s">
        <v>61</v>
      </c>
      <c r="G210" s="44">
        <v>2</v>
      </c>
      <c r="H210" s="44">
        <v>2</v>
      </c>
      <c r="I210" s="44">
        <f t="shared" si="32"/>
        <v>0</v>
      </c>
      <c r="J210" s="44" t="s">
        <v>427</v>
      </c>
      <c r="K210" s="47"/>
    </row>
    <row r="211" spans="1:11" s="42" customFormat="1" ht="12.75" x14ac:dyDescent="0.2">
      <c r="A211" s="16"/>
      <c r="B211" s="18"/>
      <c r="C211" s="18"/>
      <c r="D211" s="18"/>
      <c r="E211" s="18" t="s">
        <v>14</v>
      </c>
      <c r="F211" s="18"/>
      <c r="G211" s="21">
        <f>SUM(G203:G210)</f>
        <v>19</v>
      </c>
      <c r="H211" s="21">
        <f>SUM(H203:H210)</f>
        <v>19</v>
      </c>
      <c r="I211" s="21">
        <f t="shared" ref="I211" si="33">H211-G211</f>
        <v>0</v>
      </c>
      <c r="J211" s="22"/>
      <c r="K211" s="18"/>
    </row>
    <row r="212" spans="1:11" s="42" customFormat="1" ht="18.75" customHeight="1" x14ac:dyDescent="0.2">
      <c r="A212" s="72" t="s">
        <v>406</v>
      </c>
      <c r="B212" s="53"/>
      <c r="C212" s="53"/>
      <c r="D212" s="53"/>
      <c r="E212" s="53"/>
      <c r="F212" s="53"/>
      <c r="G212" s="53"/>
      <c r="H212" s="53"/>
      <c r="I212" s="53"/>
      <c r="J212" s="53"/>
      <c r="K212" s="54"/>
    </row>
    <row r="213" spans="1:11" s="42" customFormat="1" ht="12.75" x14ac:dyDescent="0.2">
      <c r="A213" s="32" t="s">
        <v>12</v>
      </c>
      <c r="B213" s="73" t="s">
        <v>428</v>
      </c>
      <c r="C213" s="53"/>
      <c r="D213" s="53"/>
      <c r="E213" s="53"/>
      <c r="F213" s="53"/>
      <c r="G213" s="53"/>
      <c r="H213" s="53"/>
      <c r="I213" s="53"/>
      <c r="J213" s="53"/>
      <c r="K213" s="54"/>
    </row>
    <row r="214" spans="1:11" s="42" customFormat="1" ht="27.75" customHeight="1" x14ac:dyDescent="0.2">
      <c r="A214" s="33" t="s">
        <v>13</v>
      </c>
      <c r="B214" s="73" t="s">
        <v>429</v>
      </c>
      <c r="C214" s="53"/>
      <c r="D214" s="53"/>
      <c r="E214" s="53"/>
      <c r="F214" s="53"/>
      <c r="G214" s="53"/>
      <c r="H214" s="53"/>
      <c r="I214" s="53"/>
      <c r="J214" s="53"/>
      <c r="K214" s="54"/>
    </row>
    <row r="215" spans="1:11" s="42" customFormat="1" ht="12.75" x14ac:dyDescent="0.2">
      <c r="A215" s="46">
        <v>46272</v>
      </c>
      <c r="B215" s="45" t="s">
        <v>59</v>
      </c>
      <c r="C215" s="43" t="s">
        <v>430</v>
      </c>
      <c r="D215" s="44" t="s">
        <v>431</v>
      </c>
      <c r="E215" s="44" t="s">
        <v>68</v>
      </c>
      <c r="F215" s="44" t="s">
        <v>73</v>
      </c>
      <c r="G215" s="44">
        <v>3</v>
      </c>
      <c r="H215" s="44">
        <v>3</v>
      </c>
      <c r="I215" s="44">
        <f t="shared" ref="I215:I223" si="34">H215-G215</f>
        <v>0</v>
      </c>
      <c r="J215" s="44" t="s">
        <v>432</v>
      </c>
      <c r="K215" s="47"/>
    </row>
    <row r="216" spans="1:11" s="42" customFormat="1" ht="12.75" x14ac:dyDescent="0.2">
      <c r="A216" s="46">
        <v>46272</v>
      </c>
      <c r="B216" s="45" t="s">
        <v>59</v>
      </c>
      <c r="C216" s="43" t="s">
        <v>433</v>
      </c>
      <c r="D216" s="44" t="s">
        <v>434</v>
      </c>
      <c r="E216" s="44" t="s">
        <v>48</v>
      </c>
      <c r="F216" s="44" t="s">
        <v>73</v>
      </c>
      <c r="G216" s="44">
        <v>2</v>
      </c>
      <c r="H216" s="44">
        <v>2</v>
      </c>
      <c r="I216" s="44">
        <f t="shared" si="34"/>
        <v>0</v>
      </c>
      <c r="J216" s="44" t="s">
        <v>435</v>
      </c>
      <c r="K216" s="47"/>
    </row>
    <row r="217" spans="1:11" s="42" customFormat="1" ht="12.75" x14ac:dyDescent="0.2">
      <c r="A217" s="46">
        <v>46273</v>
      </c>
      <c r="B217" s="45" t="s">
        <v>59</v>
      </c>
      <c r="C217" s="43" t="s">
        <v>436</v>
      </c>
      <c r="D217" s="44" t="s">
        <v>437</v>
      </c>
      <c r="E217" s="44" t="s">
        <v>68</v>
      </c>
      <c r="F217" s="44" t="s">
        <v>73</v>
      </c>
      <c r="G217" s="44">
        <v>3</v>
      </c>
      <c r="H217" s="44">
        <v>3</v>
      </c>
      <c r="I217" s="44">
        <f t="shared" si="34"/>
        <v>0</v>
      </c>
      <c r="J217" s="44" t="s">
        <v>438</v>
      </c>
      <c r="K217" s="47"/>
    </row>
    <row r="218" spans="1:11" s="42" customFormat="1" ht="12.75" x14ac:dyDescent="0.2">
      <c r="A218" s="46">
        <v>46273</v>
      </c>
      <c r="B218" s="45" t="s">
        <v>59</v>
      </c>
      <c r="C218" s="43" t="s">
        <v>439</v>
      </c>
      <c r="D218" s="44" t="s">
        <v>440</v>
      </c>
      <c r="E218" s="44" t="s">
        <v>68</v>
      </c>
      <c r="F218" s="44" t="s">
        <v>73</v>
      </c>
      <c r="G218" s="44">
        <v>3</v>
      </c>
      <c r="H218" s="44">
        <v>3</v>
      </c>
      <c r="I218" s="44">
        <f t="shared" si="34"/>
        <v>0</v>
      </c>
      <c r="J218" s="44" t="s">
        <v>441</v>
      </c>
      <c r="K218" s="47"/>
    </row>
    <row r="219" spans="1:11" s="42" customFormat="1" ht="12.75" x14ac:dyDescent="0.2">
      <c r="A219" s="46">
        <v>46274</v>
      </c>
      <c r="B219" s="45" t="s">
        <v>59</v>
      </c>
      <c r="C219" s="43" t="s">
        <v>442</v>
      </c>
      <c r="D219" s="44" t="s">
        <v>443</v>
      </c>
      <c r="E219" s="44" t="s">
        <v>68</v>
      </c>
      <c r="F219" s="44" t="s">
        <v>73</v>
      </c>
      <c r="G219" s="44">
        <v>2.5</v>
      </c>
      <c r="H219" s="44">
        <v>2.5</v>
      </c>
      <c r="I219" s="44">
        <f t="shared" si="34"/>
        <v>0</v>
      </c>
      <c r="J219" s="44" t="s">
        <v>441</v>
      </c>
      <c r="K219" s="47"/>
    </row>
    <row r="220" spans="1:11" s="42" customFormat="1" ht="12.75" x14ac:dyDescent="0.2">
      <c r="A220" s="46">
        <v>46274</v>
      </c>
      <c r="B220" s="45" t="s">
        <v>59</v>
      </c>
      <c r="C220" s="43" t="s">
        <v>444</v>
      </c>
      <c r="D220" s="44" t="s">
        <v>445</v>
      </c>
      <c r="E220" s="44" t="s">
        <v>68</v>
      </c>
      <c r="F220" s="44" t="s">
        <v>52</v>
      </c>
      <c r="G220" s="44">
        <v>2</v>
      </c>
      <c r="H220" s="44">
        <v>2</v>
      </c>
      <c r="I220" s="44">
        <f t="shared" si="34"/>
        <v>0</v>
      </c>
      <c r="J220" s="44" t="s">
        <v>446</v>
      </c>
      <c r="K220" s="47"/>
    </row>
    <row r="221" spans="1:11" s="42" customFormat="1" ht="12.75" x14ac:dyDescent="0.2">
      <c r="A221" s="46">
        <v>46274</v>
      </c>
      <c r="B221" s="49" t="s">
        <v>59</v>
      </c>
      <c r="C221" s="48" t="s">
        <v>499</v>
      </c>
      <c r="D221" s="39" t="s">
        <v>506</v>
      </c>
      <c r="E221" s="39" t="s">
        <v>66</v>
      </c>
      <c r="F221" s="39" t="s">
        <v>75</v>
      </c>
      <c r="G221" s="44">
        <v>0.5</v>
      </c>
      <c r="H221" s="44">
        <v>0.5</v>
      </c>
      <c r="I221" s="44">
        <f t="shared" si="34"/>
        <v>0</v>
      </c>
      <c r="J221" s="44"/>
      <c r="K221" s="47" t="s">
        <v>513</v>
      </c>
    </row>
    <row r="222" spans="1:11" s="42" customFormat="1" ht="12.75" x14ac:dyDescent="0.2">
      <c r="A222" s="46">
        <v>46275</v>
      </c>
      <c r="B222" s="45" t="s">
        <v>59</v>
      </c>
      <c r="C222" s="43" t="s">
        <v>447</v>
      </c>
      <c r="D222" s="44" t="s">
        <v>448</v>
      </c>
      <c r="E222" s="44" t="s">
        <v>48</v>
      </c>
      <c r="F222" s="44" t="s">
        <v>73</v>
      </c>
      <c r="G222" s="44">
        <v>2</v>
      </c>
      <c r="H222" s="44">
        <v>2</v>
      </c>
      <c r="I222" s="44">
        <f t="shared" si="34"/>
        <v>0</v>
      </c>
      <c r="J222" s="44" t="s">
        <v>449</v>
      </c>
      <c r="K222" s="47"/>
    </row>
    <row r="223" spans="1:11" s="42" customFormat="1" ht="12.75" x14ac:dyDescent="0.2">
      <c r="A223" s="46">
        <v>46275</v>
      </c>
      <c r="B223" s="45" t="s">
        <v>59</v>
      </c>
      <c r="C223" s="43" t="s">
        <v>450</v>
      </c>
      <c r="D223" s="44" t="s">
        <v>451</v>
      </c>
      <c r="E223" s="44" t="s">
        <v>60</v>
      </c>
      <c r="F223" s="44" t="s">
        <v>61</v>
      </c>
      <c r="G223" s="44">
        <v>1.5</v>
      </c>
      <c r="H223" s="44">
        <v>1.5</v>
      </c>
      <c r="I223" s="44">
        <f t="shared" si="34"/>
        <v>0</v>
      </c>
      <c r="J223" s="44"/>
      <c r="K223" s="47"/>
    </row>
    <row r="224" spans="1:11" s="42" customFormat="1" ht="12.75" x14ac:dyDescent="0.2">
      <c r="A224" s="16"/>
      <c r="B224" s="18"/>
      <c r="C224" s="18"/>
      <c r="D224" s="18"/>
      <c r="E224" s="18" t="s">
        <v>14</v>
      </c>
      <c r="F224" s="18"/>
      <c r="G224" s="21">
        <f>SUM(G215:G223)</f>
        <v>19.5</v>
      </c>
      <c r="H224" s="21">
        <f>SUM(H215:H223)</f>
        <v>19.5</v>
      </c>
      <c r="I224" s="21">
        <f t="shared" ref="I224" si="35">H224-G224</f>
        <v>0</v>
      </c>
      <c r="J224" s="22"/>
      <c r="K224" s="18"/>
    </row>
    <row r="225" spans="1:11" s="42" customFormat="1" ht="12.75" x14ac:dyDescent="0.2">
      <c r="A225" s="65" t="s">
        <v>407</v>
      </c>
      <c r="B225" s="53"/>
      <c r="C225" s="53"/>
      <c r="D225" s="53"/>
      <c r="E225" s="53"/>
      <c r="F225" s="53"/>
      <c r="G225" s="53"/>
      <c r="H225" s="53"/>
      <c r="I225" s="53"/>
      <c r="J225" s="53"/>
      <c r="K225" s="54"/>
    </row>
    <row r="226" spans="1:11" s="42" customFormat="1" ht="12.75" x14ac:dyDescent="0.2">
      <c r="A226" s="36" t="s">
        <v>12</v>
      </c>
      <c r="B226" s="76" t="s">
        <v>452</v>
      </c>
      <c r="C226" s="51"/>
      <c r="D226" s="51"/>
      <c r="E226" s="51"/>
      <c r="F226" s="51"/>
      <c r="G226" s="51"/>
      <c r="H226" s="51"/>
      <c r="I226" s="51"/>
      <c r="J226" s="51"/>
      <c r="K226" s="77"/>
    </row>
    <row r="227" spans="1:11" s="42" customFormat="1" ht="27.75" customHeight="1" x14ac:dyDescent="0.2">
      <c r="A227" s="37" t="s">
        <v>13</v>
      </c>
      <c r="B227" s="78" t="s">
        <v>453</v>
      </c>
      <c r="C227" s="51"/>
      <c r="D227" s="51"/>
      <c r="E227" s="51"/>
      <c r="F227" s="51"/>
      <c r="G227" s="51"/>
      <c r="H227" s="51"/>
      <c r="I227" s="51"/>
      <c r="J227" s="51"/>
      <c r="K227" s="77"/>
    </row>
    <row r="228" spans="1:11" s="42" customFormat="1" ht="12.75" x14ac:dyDescent="0.2">
      <c r="A228" s="46">
        <v>46279</v>
      </c>
      <c r="B228" s="45" t="s">
        <v>59</v>
      </c>
      <c r="C228" s="43" t="s">
        <v>454</v>
      </c>
      <c r="D228" s="44" t="s">
        <v>455</v>
      </c>
      <c r="E228" s="44" t="s">
        <v>68</v>
      </c>
      <c r="F228" s="44" t="s">
        <v>73</v>
      </c>
      <c r="G228" s="44">
        <v>2.5</v>
      </c>
      <c r="H228" s="44">
        <v>2.5</v>
      </c>
      <c r="I228" s="44">
        <f t="shared" ref="I228:I236" si="36">H228-G228</f>
        <v>0</v>
      </c>
      <c r="J228" s="44" t="s">
        <v>456</v>
      </c>
      <c r="K228" s="47"/>
    </row>
    <row r="229" spans="1:11" s="42" customFormat="1" ht="12.75" x14ac:dyDescent="0.2">
      <c r="A229" s="46">
        <v>46279</v>
      </c>
      <c r="B229" s="45" t="s">
        <v>59</v>
      </c>
      <c r="C229" s="43" t="s">
        <v>457</v>
      </c>
      <c r="D229" s="44" t="s">
        <v>458</v>
      </c>
      <c r="E229" s="44" t="s">
        <v>68</v>
      </c>
      <c r="F229" s="44" t="s">
        <v>73</v>
      </c>
      <c r="G229" s="44">
        <v>2.5</v>
      </c>
      <c r="H229" s="44">
        <v>2.5</v>
      </c>
      <c r="I229" s="44">
        <f t="shared" si="36"/>
        <v>0</v>
      </c>
      <c r="J229" s="44" t="s">
        <v>459</v>
      </c>
      <c r="K229" s="47"/>
    </row>
    <row r="230" spans="1:11" s="42" customFormat="1" ht="12.75" x14ac:dyDescent="0.2">
      <c r="A230" s="46">
        <v>46280</v>
      </c>
      <c r="B230" s="45" t="s">
        <v>59</v>
      </c>
      <c r="C230" s="43" t="s">
        <v>460</v>
      </c>
      <c r="D230" s="44" t="s">
        <v>461</v>
      </c>
      <c r="E230" s="44" t="s">
        <v>68</v>
      </c>
      <c r="F230" s="44" t="s">
        <v>73</v>
      </c>
      <c r="G230" s="44">
        <v>2.5</v>
      </c>
      <c r="H230" s="44">
        <v>2.5</v>
      </c>
      <c r="I230" s="44">
        <f t="shared" si="36"/>
        <v>0</v>
      </c>
      <c r="J230" s="44" t="s">
        <v>462</v>
      </c>
      <c r="K230" s="47"/>
    </row>
    <row r="231" spans="1:11" s="42" customFormat="1" ht="12.75" x14ac:dyDescent="0.2">
      <c r="A231" s="46">
        <v>46280</v>
      </c>
      <c r="B231" s="45" t="s">
        <v>59</v>
      </c>
      <c r="C231" s="43" t="s">
        <v>463</v>
      </c>
      <c r="D231" s="44" t="s">
        <v>464</v>
      </c>
      <c r="E231" s="44" t="s">
        <v>68</v>
      </c>
      <c r="F231" s="44" t="s">
        <v>73</v>
      </c>
      <c r="G231" s="44">
        <v>3</v>
      </c>
      <c r="H231" s="44">
        <v>3</v>
      </c>
      <c r="I231" s="44">
        <f t="shared" si="36"/>
        <v>0</v>
      </c>
      <c r="J231" s="44" t="s">
        <v>462</v>
      </c>
      <c r="K231" s="47"/>
    </row>
    <row r="232" spans="1:11" s="42" customFormat="1" ht="12.75" x14ac:dyDescent="0.2">
      <c r="A232" s="46">
        <v>46281</v>
      </c>
      <c r="B232" s="45" t="s">
        <v>59</v>
      </c>
      <c r="C232" s="43" t="s">
        <v>465</v>
      </c>
      <c r="D232" s="44" t="s">
        <v>466</v>
      </c>
      <c r="E232" s="44" t="s">
        <v>68</v>
      </c>
      <c r="F232" s="44" t="s">
        <v>71</v>
      </c>
      <c r="G232" s="44">
        <v>2</v>
      </c>
      <c r="H232" s="44">
        <v>2</v>
      </c>
      <c r="I232" s="44">
        <f t="shared" si="36"/>
        <v>0</v>
      </c>
      <c r="J232" s="44" t="s">
        <v>467</v>
      </c>
      <c r="K232" s="47"/>
    </row>
    <row r="233" spans="1:11" s="42" customFormat="1" ht="12.75" x14ac:dyDescent="0.2">
      <c r="A233" s="46">
        <v>46281</v>
      </c>
      <c r="B233" s="45" t="s">
        <v>59</v>
      </c>
      <c r="C233" s="43" t="s">
        <v>468</v>
      </c>
      <c r="D233" s="44" t="s">
        <v>469</v>
      </c>
      <c r="E233" s="44" t="s">
        <v>68</v>
      </c>
      <c r="F233" s="44" t="s">
        <v>73</v>
      </c>
      <c r="G233" s="44">
        <v>1.5</v>
      </c>
      <c r="H233" s="44">
        <v>1.5</v>
      </c>
      <c r="I233" s="44">
        <f t="shared" si="36"/>
        <v>0</v>
      </c>
      <c r="J233" s="44" t="s">
        <v>470</v>
      </c>
      <c r="K233" s="47"/>
    </row>
    <row r="234" spans="1:11" s="42" customFormat="1" ht="12.75" x14ac:dyDescent="0.2">
      <c r="A234" s="46">
        <v>46282</v>
      </c>
      <c r="B234" s="49" t="s">
        <v>59</v>
      </c>
      <c r="C234" s="48" t="s">
        <v>499</v>
      </c>
      <c r="D234" s="39" t="s">
        <v>507</v>
      </c>
      <c r="E234" s="39" t="s">
        <v>66</v>
      </c>
      <c r="F234" s="39" t="s">
        <v>75</v>
      </c>
      <c r="G234" s="44">
        <v>0.5</v>
      </c>
      <c r="H234" s="44">
        <v>0.5</v>
      </c>
      <c r="I234" s="44">
        <f t="shared" si="36"/>
        <v>0</v>
      </c>
      <c r="J234" s="44"/>
      <c r="K234" s="47" t="s">
        <v>511</v>
      </c>
    </row>
    <row r="235" spans="1:11" s="42" customFormat="1" ht="12.75" x14ac:dyDescent="0.2">
      <c r="A235" s="46">
        <v>46282</v>
      </c>
      <c r="B235" s="45" t="s">
        <v>59</v>
      </c>
      <c r="C235" s="43" t="s">
        <v>471</v>
      </c>
      <c r="D235" s="44" t="s">
        <v>472</v>
      </c>
      <c r="E235" s="44" t="s">
        <v>68</v>
      </c>
      <c r="F235" s="44" t="s">
        <v>73</v>
      </c>
      <c r="G235" s="44">
        <v>1.5</v>
      </c>
      <c r="H235" s="44">
        <v>1.5</v>
      </c>
      <c r="I235" s="44">
        <f t="shared" si="36"/>
        <v>0</v>
      </c>
      <c r="J235" s="44" t="s">
        <v>473</v>
      </c>
      <c r="K235" s="47"/>
    </row>
    <row r="236" spans="1:11" s="42" customFormat="1" ht="12.75" x14ac:dyDescent="0.2">
      <c r="A236" s="46">
        <v>46282</v>
      </c>
      <c r="B236" s="45" t="s">
        <v>59</v>
      </c>
      <c r="C236" s="43" t="s">
        <v>474</v>
      </c>
      <c r="D236" s="44" t="s">
        <v>475</v>
      </c>
      <c r="E236" s="44" t="s">
        <v>60</v>
      </c>
      <c r="F236" s="44" t="s">
        <v>61</v>
      </c>
      <c r="G236" s="44">
        <v>3</v>
      </c>
      <c r="H236" s="44">
        <v>3</v>
      </c>
      <c r="I236" s="44">
        <f t="shared" si="36"/>
        <v>0</v>
      </c>
      <c r="J236" s="44"/>
      <c r="K236" s="47"/>
    </row>
    <row r="237" spans="1:11" s="42" customFormat="1" ht="12.75" x14ac:dyDescent="0.2">
      <c r="A237" s="16"/>
      <c r="B237" s="18"/>
      <c r="C237" s="18"/>
      <c r="D237" s="18"/>
      <c r="E237" s="18" t="s">
        <v>14</v>
      </c>
      <c r="F237" s="18"/>
      <c r="G237" s="21">
        <f>SUM(G228:G236)</f>
        <v>19</v>
      </c>
      <c r="H237" s="21">
        <f>SUM(H228:H236)</f>
        <v>19</v>
      </c>
      <c r="I237" s="21">
        <f t="shared" ref="I237" si="37">H237-G237</f>
        <v>0</v>
      </c>
      <c r="J237" s="22"/>
      <c r="K237" s="18"/>
    </row>
    <row r="238" spans="1:11" s="42" customFormat="1" ht="18.75" customHeight="1" x14ac:dyDescent="0.2">
      <c r="A238" s="74" t="s">
        <v>408</v>
      </c>
      <c r="B238" s="53"/>
      <c r="C238" s="53"/>
      <c r="D238" s="53"/>
      <c r="E238" s="53"/>
      <c r="F238" s="53"/>
      <c r="G238" s="53"/>
      <c r="H238" s="53"/>
      <c r="I238" s="53"/>
      <c r="J238" s="53"/>
      <c r="K238" s="54"/>
    </row>
    <row r="239" spans="1:11" s="42" customFormat="1" ht="12.75" x14ac:dyDescent="0.2">
      <c r="A239" s="34" t="s">
        <v>12</v>
      </c>
      <c r="B239" s="75" t="s">
        <v>476</v>
      </c>
      <c r="C239" s="53"/>
      <c r="D239" s="53"/>
      <c r="E239" s="53"/>
      <c r="F239" s="53"/>
      <c r="G239" s="53"/>
      <c r="H239" s="53"/>
      <c r="I239" s="53"/>
      <c r="J239" s="53"/>
      <c r="K239" s="54"/>
    </row>
    <row r="240" spans="1:11" s="42" customFormat="1" ht="28.5" customHeight="1" x14ac:dyDescent="0.2">
      <c r="A240" s="35" t="s">
        <v>13</v>
      </c>
      <c r="B240" s="75" t="s">
        <v>477</v>
      </c>
      <c r="C240" s="53"/>
      <c r="D240" s="53"/>
      <c r="E240" s="53"/>
      <c r="F240" s="53"/>
      <c r="G240" s="53"/>
      <c r="H240" s="53"/>
      <c r="I240" s="53"/>
      <c r="J240" s="53"/>
      <c r="K240" s="54"/>
    </row>
    <row r="241" spans="1:11" s="42" customFormat="1" ht="12.75" x14ac:dyDescent="0.2">
      <c r="A241" s="46">
        <v>46286</v>
      </c>
      <c r="B241" s="45" t="s">
        <v>59</v>
      </c>
      <c r="C241" s="43" t="s">
        <v>478</v>
      </c>
      <c r="D241" s="44" t="s">
        <v>479</v>
      </c>
      <c r="E241" s="44" t="s">
        <v>68</v>
      </c>
      <c r="F241" s="44" t="s">
        <v>64</v>
      </c>
      <c r="G241" s="44">
        <v>2.5</v>
      </c>
      <c r="H241" s="44">
        <v>2.5</v>
      </c>
      <c r="I241" s="44">
        <f t="shared" ref="I241:I251" si="38">H241-G241</f>
        <v>0</v>
      </c>
      <c r="J241" s="44" t="s">
        <v>480</v>
      </c>
      <c r="K241" s="47"/>
    </row>
    <row r="242" spans="1:11" s="42" customFormat="1" ht="12.75" x14ac:dyDescent="0.2">
      <c r="A242" s="46">
        <v>46286</v>
      </c>
      <c r="B242" s="45" t="s">
        <v>59</v>
      </c>
      <c r="C242" s="43" t="s">
        <v>481</v>
      </c>
      <c r="D242" s="44" t="s">
        <v>482</v>
      </c>
      <c r="E242" s="44" t="s">
        <v>68</v>
      </c>
      <c r="F242" s="44" t="s">
        <v>75</v>
      </c>
      <c r="G242" s="44">
        <v>2</v>
      </c>
      <c r="H242" s="44">
        <v>2</v>
      </c>
      <c r="I242" s="44">
        <f t="shared" si="38"/>
        <v>0</v>
      </c>
      <c r="J242" s="44" t="s">
        <v>480</v>
      </c>
      <c r="K242" s="47"/>
    </row>
    <row r="243" spans="1:11" s="42" customFormat="1" ht="12.75" x14ac:dyDescent="0.2">
      <c r="A243" s="46">
        <v>46287</v>
      </c>
      <c r="B243" s="45" t="s">
        <v>59</v>
      </c>
      <c r="C243" s="43" t="s">
        <v>483</v>
      </c>
      <c r="D243" s="44" t="s">
        <v>482</v>
      </c>
      <c r="E243" s="44" t="s">
        <v>68</v>
      </c>
      <c r="F243" s="44" t="s">
        <v>75</v>
      </c>
      <c r="G243" s="44">
        <v>2</v>
      </c>
      <c r="H243" s="44">
        <v>2</v>
      </c>
      <c r="I243" s="44">
        <f t="shared" si="38"/>
        <v>0</v>
      </c>
      <c r="J243" s="44" t="s">
        <v>480</v>
      </c>
      <c r="K243" s="47"/>
    </row>
    <row r="244" spans="1:11" s="42" customFormat="1" ht="12.75" x14ac:dyDescent="0.2">
      <c r="A244" s="46">
        <v>46287</v>
      </c>
      <c r="B244" s="45" t="s">
        <v>59</v>
      </c>
      <c r="C244" s="43" t="s">
        <v>484</v>
      </c>
      <c r="D244" s="44" t="s">
        <v>482</v>
      </c>
      <c r="E244" s="44" t="s">
        <v>68</v>
      </c>
      <c r="F244" s="44" t="s">
        <v>75</v>
      </c>
      <c r="G244" s="44">
        <v>2</v>
      </c>
      <c r="H244" s="44">
        <v>2</v>
      </c>
      <c r="I244" s="44">
        <f t="shared" si="38"/>
        <v>0</v>
      </c>
      <c r="J244" s="44" t="s">
        <v>480</v>
      </c>
      <c r="K244" s="47"/>
    </row>
    <row r="245" spans="1:11" s="42" customFormat="1" ht="12.75" x14ac:dyDescent="0.2">
      <c r="A245" s="46">
        <v>46288</v>
      </c>
      <c r="B245" s="45" t="s">
        <v>59</v>
      </c>
      <c r="C245" s="43" t="s">
        <v>485</v>
      </c>
      <c r="D245" s="44" t="s">
        <v>486</v>
      </c>
      <c r="E245" s="44" t="s">
        <v>68</v>
      </c>
      <c r="F245" s="44" t="s">
        <v>61</v>
      </c>
      <c r="G245" s="44">
        <v>2.5</v>
      </c>
      <c r="H245" s="44">
        <v>2.5</v>
      </c>
      <c r="I245" s="44">
        <f t="shared" si="38"/>
        <v>0</v>
      </c>
      <c r="J245" s="44"/>
      <c r="K245" s="47"/>
    </row>
    <row r="246" spans="1:11" s="42" customFormat="1" ht="12.75" x14ac:dyDescent="0.2">
      <c r="A246" s="46">
        <v>46288</v>
      </c>
      <c r="B246" s="45" t="s">
        <v>59</v>
      </c>
      <c r="C246" s="43" t="s">
        <v>487</v>
      </c>
      <c r="D246" s="44" t="s">
        <v>488</v>
      </c>
      <c r="E246" s="44" t="s">
        <v>68</v>
      </c>
      <c r="F246" s="44" t="s">
        <v>55</v>
      </c>
      <c r="G246" s="44">
        <v>2</v>
      </c>
      <c r="H246" s="44">
        <v>2</v>
      </c>
      <c r="I246" s="44">
        <f t="shared" si="38"/>
        <v>0</v>
      </c>
      <c r="J246" s="44" t="s">
        <v>480</v>
      </c>
      <c r="K246" s="47"/>
    </row>
    <row r="247" spans="1:11" s="42" customFormat="1" ht="12.75" x14ac:dyDescent="0.2">
      <c r="A247" s="46">
        <v>46289</v>
      </c>
      <c r="B247" s="45" t="s">
        <v>59</v>
      </c>
      <c r="C247" s="43" t="s">
        <v>489</v>
      </c>
      <c r="D247" s="44" t="s">
        <v>490</v>
      </c>
      <c r="E247" s="44" t="s">
        <v>68</v>
      </c>
      <c r="F247" s="44" t="s">
        <v>61</v>
      </c>
      <c r="G247" s="44">
        <v>2</v>
      </c>
      <c r="H247" s="44">
        <v>2</v>
      </c>
      <c r="I247" s="44">
        <f t="shared" si="38"/>
        <v>0</v>
      </c>
      <c r="J247" s="44"/>
      <c r="K247" s="47"/>
    </row>
    <row r="248" spans="1:11" s="42" customFormat="1" ht="12.75" x14ac:dyDescent="0.2">
      <c r="A248" s="46">
        <v>46289</v>
      </c>
      <c r="B248" s="45" t="s">
        <v>59</v>
      </c>
      <c r="C248" s="43" t="s">
        <v>491</v>
      </c>
      <c r="D248" s="44" t="s">
        <v>492</v>
      </c>
      <c r="E248" s="44" t="s">
        <v>68</v>
      </c>
      <c r="F248" s="44" t="s">
        <v>64</v>
      </c>
      <c r="G248" s="44">
        <v>2</v>
      </c>
      <c r="H248" s="44">
        <v>2</v>
      </c>
      <c r="I248" s="44">
        <f t="shared" si="38"/>
        <v>0</v>
      </c>
      <c r="J248" s="44"/>
      <c r="K248" s="47"/>
    </row>
    <row r="249" spans="1:11" s="42" customFormat="1" ht="12.75" x14ac:dyDescent="0.2">
      <c r="A249" s="46">
        <v>46290</v>
      </c>
      <c r="B249" s="45" t="s">
        <v>59</v>
      </c>
      <c r="C249" s="43" t="s">
        <v>493</v>
      </c>
      <c r="D249" s="44" t="s">
        <v>494</v>
      </c>
      <c r="E249" s="44" t="s">
        <v>68</v>
      </c>
      <c r="F249" s="44" t="s">
        <v>76</v>
      </c>
      <c r="G249" s="44">
        <v>2</v>
      </c>
      <c r="H249" s="44">
        <v>2</v>
      </c>
      <c r="I249" s="44">
        <f t="shared" si="38"/>
        <v>0</v>
      </c>
      <c r="J249" s="44"/>
      <c r="K249" s="47"/>
    </row>
    <row r="250" spans="1:11" s="42" customFormat="1" ht="12.75" x14ac:dyDescent="0.2">
      <c r="A250" s="46">
        <v>46290</v>
      </c>
      <c r="B250" s="49" t="s">
        <v>59</v>
      </c>
      <c r="C250" s="48" t="s">
        <v>508</v>
      </c>
      <c r="D250" s="39" t="s">
        <v>509</v>
      </c>
      <c r="E250" s="39" t="s">
        <v>66</v>
      </c>
      <c r="F250" s="39" t="s">
        <v>75</v>
      </c>
      <c r="G250" s="44">
        <v>0.5</v>
      </c>
      <c r="H250" s="44">
        <v>0.5</v>
      </c>
      <c r="I250" s="44">
        <f t="shared" si="38"/>
        <v>0</v>
      </c>
      <c r="J250" s="44"/>
      <c r="K250" s="47" t="s">
        <v>512</v>
      </c>
    </row>
    <row r="251" spans="1:11" s="42" customFormat="1" ht="12.75" x14ac:dyDescent="0.2">
      <c r="A251" s="46">
        <v>46290</v>
      </c>
      <c r="B251" s="45" t="s">
        <v>59</v>
      </c>
      <c r="C251" s="43" t="s">
        <v>495</v>
      </c>
      <c r="D251" s="44" t="s">
        <v>496</v>
      </c>
      <c r="E251" s="44" t="s">
        <v>60</v>
      </c>
      <c r="F251" s="44" t="s">
        <v>61</v>
      </c>
      <c r="G251" s="44">
        <v>2</v>
      </c>
      <c r="H251" s="44">
        <v>2</v>
      </c>
      <c r="I251" s="44">
        <f t="shared" si="38"/>
        <v>0</v>
      </c>
      <c r="J251" s="44"/>
      <c r="K251" s="47"/>
    </row>
    <row r="252" spans="1:11" s="42" customFormat="1" ht="12.75" x14ac:dyDescent="0.2">
      <c r="A252" s="16"/>
      <c r="B252" s="18"/>
      <c r="C252" s="18"/>
      <c r="D252" s="18"/>
      <c r="E252" s="18" t="s">
        <v>14</v>
      </c>
      <c r="F252" s="18"/>
      <c r="G252" s="21">
        <f>SUM(G241:G251)</f>
        <v>21.5</v>
      </c>
      <c r="H252" s="21">
        <f>SUM(H241:H251)</f>
        <v>21.5</v>
      </c>
      <c r="I252" s="21">
        <f t="shared" ref="I252" si="39">H252-G252</f>
        <v>0</v>
      </c>
      <c r="J252" s="22"/>
      <c r="K252" s="18"/>
    </row>
    <row r="254" spans="1:11" s="42" customFormat="1" ht="12.75" x14ac:dyDescent="0.2">
      <c r="E254" s="39" t="s">
        <v>30</v>
      </c>
      <c r="F254" s="39"/>
      <c r="G254" s="40">
        <f>G14+G26+G38+G51+G63+G76+G88+G99+G113+G126+G137+G150+G161+G173+G186+G199+G211+G224+G237+G252</f>
        <v>380.5</v>
      </c>
      <c r="H254" s="40">
        <f>H14+H26+H38+H51+H63+H76+H88+H99+H113+H126+H137+H150+H161+H173+H186+H199+H211+H224+H237+H252</f>
        <v>382.5</v>
      </c>
      <c r="I254" s="40">
        <f>H254-G254</f>
        <v>2</v>
      </c>
    </row>
    <row r="287" spans="5:9" s="42" customFormat="1" ht="12.75" x14ac:dyDescent="0.2">
      <c r="E287" s="39"/>
      <c r="F287" s="39"/>
      <c r="G287" s="40"/>
      <c r="H287" s="40"/>
      <c r="I287" s="40"/>
    </row>
  </sheetData>
  <autoFilter ref="A1:K14"/>
  <customSheetViews>
    <customSheetView guid="{8BAC9A6B-5D32-4E8D-967D-E17D357516F8}" filter="1" showAutoFilter="1">
      <pageMargins left="0" right="0" top="0" bottom="0" header="0" footer="0"/>
      <autoFilter ref="A1:K15">
        <filterColumn colId="1">
          <filters blank="1">
            <filter val="- Weekplan item 1_x000a_- Weekplan item 2_x000a_- Weekplan item 3_x000a_- etc"/>
            <filter val="[Enter known possible issues that are a risk for you to finish the high level week planning]"/>
          </filters>
        </filterColumn>
      </autoFilter>
    </customSheetView>
  </customSheetViews>
  <mergeCells count="60">
    <mergeCell ref="B239:K239"/>
    <mergeCell ref="B240:K240"/>
    <mergeCell ref="B214:K214"/>
    <mergeCell ref="A225:K225"/>
    <mergeCell ref="B226:K226"/>
    <mergeCell ref="B227:K227"/>
    <mergeCell ref="A238:K238"/>
    <mergeCell ref="A200:K200"/>
    <mergeCell ref="B201:K201"/>
    <mergeCell ref="B202:K202"/>
    <mergeCell ref="A212:K212"/>
    <mergeCell ref="B213:K213"/>
    <mergeCell ref="B176:K176"/>
    <mergeCell ref="A187:K187"/>
    <mergeCell ref="B188:K188"/>
    <mergeCell ref="B189:K189"/>
    <mergeCell ref="A162:K162"/>
    <mergeCell ref="B163:K163"/>
    <mergeCell ref="B164:K164"/>
    <mergeCell ref="A174:K174"/>
    <mergeCell ref="B175:K175"/>
    <mergeCell ref="B139:K139"/>
    <mergeCell ref="B140:K140"/>
    <mergeCell ref="A151:K151"/>
    <mergeCell ref="B152:K152"/>
    <mergeCell ref="B153:K153"/>
    <mergeCell ref="B116:K116"/>
    <mergeCell ref="A127:K127"/>
    <mergeCell ref="B128:K128"/>
    <mergeCell ref="B129:K129"/>
    <mergeCell ref="A138:K138"/>
    <mergeCell ref="A102:K102"/>
    <mergeCell ref="B103:K103"/>
    <mergeCell ref="B104:K104"/>
    <mergeCell ref="A114:K114"/>
    <mergeCell ref="B115:K115"/>
    <mergeCell ref="B90:K90"/>
    <mergeCell ref="B91:K91"/>
    <mergeCell ref="B54:K54"/>
    <mergeCell ref="A64:K64"/>
    <mergeCell ref="B65:K65"/>
    <mergeCell ref="B66:K66"/>
    <mergeCell ref="A77:K77"/>
    <mergeCell ref="B78:K78"/>
    <mergeCell ref="B79:K79"/>
    <mergeCell ref="B40:K40"/>
    <mergeCell ref="B41:K41"/>
    <mergeCell ref="A52:K52"/>
    <mergeCell ref="B53:K53"/>
    <mergeCell ref="A89:K89"/>
    <mergeCell ref="B17:K17"/>
    <mergeCell ref="A27:K27"/>
    <mergeCell ref="B28:K28"/>
    <mergeCell ref="B29:K29"/>
    <mergeCell ref="A39:K39"/>
    <mergeCell ref="A2:K2"/>
    <mergeCell ref="B3:K3"/>
    <mergeCell ref="B4:K4"/>
    <mergeCell ref="A15:K15"/>
    <mergeCell ref="B16:K16"/>
  </mergeCells>
  <conditionalFormatting sqref="B16:B25 B30:B37 B42:B50 B55:B62 B67:B75 B80:B87 B92:B98 B190:B198 B5:B13">
    <cfRule type="containsText" dxfId="69" priority="78" operator="containsText" text="Unplanned">
      <formula>NOT(ISERROR(SEARCH(("Unplanned"),(B5))))</formula>
    </cfRule>
    <cfRule type="containsText" dxfId="68" priority="79" operator="containsText" text="Planned">
      <formula>NOT(ISERROR(SEARCH(("Planned"),(B5))))</formula>
    </cfRule>
    <cfRule type="containsText" dxfId="67" priority="80" operator="containsText" text="In-Progress">
      <formula>NOT(ISERROR(SEARCH(("In-Progress"),(B5))))</formula>
    </cfRule>
    <cfRule type="containsText" dxfId="66" priority="81" operator="containsText" text="Blocked">
      <formula>NOT(ISERROR(SEARCH(("Blocked"),(B5))))</formula>
    </cfRule>
    <cfRule type="containsText" dxfId="65" priority="82" operator="containsText" text="Done">
      <formula>NOT(ISERROR(SEARCH(("Done"),(B5))))</formula>
    </cfRule>
  </conditionalFormatting>
  <conditionalFormatting sqref="B90:B98 B188:B198 B5:B14 B16:B26 B28:B38 B40:B51 B53:B63 B65:B76 B78:B88 B105:B113 B115:B126 B128:B137 B139:B150 B152:B161 B163:B173 B175:B186">
    <cfRule type="containsText" dxfId="64" priority="83" operator="containsText" text="Unplanned">
      <formula>NOT(ISERROR(SEARCH(("Unplanned"),(B5))))</formula>
    </cfRule>
    <cfRule type="containsText" dxfId="63" priority="84" operator="containsText" text="Cancelled">
      <formula>NOT(ISERROR(SEARCH(("Cancelled"),(B5))))</formula>
    </cfRule>
  </conditionalFormatting>
  <conditionalFormatting sqref="B105:B112 B115:B125 B130:B136 B141:B149 B154:B160 B165:B172 B177:B185">
    <cfRule type="containsText" dxfId="62" priority="68" operator="containsText" text="Unplanned">
      <formula>NOT(ISERROR(SEARCH(("Unplanned"),(B105))))</formula>
    </cfRule>
    <cfRule type="containsText" dxfId="61" priority="69" operator="containsText" text="Planned">
      <formula>NOT(ISERROR(SEARCH(("Planned"),(B105))))</formula>
    </cfRule>
    <cfRule type="containsText" dxfId="60" priority="70" operator="containsText" text="In-Progress">
      <formula>NOT(ISERROR(SEARCH(("In-Progress"),(B105))))</formula>
    </cfRule>
    <cfRule type="containsText" dxfId="59" priority="71" operator="containsText" text="Blocked">
      <formula>NOT(ISERROR(SEARCH(("Blocked"),(B105))))</formula>
    </cfRule>
    <cfRule type="containsText" dxfId="58" priority="72" operator="containsText" text="Done">
      <formula>NOT(ISERROR(SEARCH(("Done"),(B105))))</formula>
    </cfRule>
  </conditionalFormatting>
  <conditionalFormatting sqref="B199">
    <cfRule type="containsText" dxfId="57" priority="53" operator="containsText" text="Unplanned">
      <formula>NOT(ISERROR(SEARCH(("Unplanned"),(B199))))</formula>
    </cfRule>
    <cfRule type="containsText" dxfId="56" priority="54" operator="containsText" text="Cancelled">
      <formula>NOT(ISERROR(SEARCH(("Cancelled"),(B199))))</formula>
    </cfRule>
  </conditionalFormatting>
  <conditionalFormatting sqref="G1 G3:G14 G18:G26 G30:G38 G42:G51 G55:G63 G67:G76 G80:G88 G92:G100 G103:G113 G117:G126 G130:G137 G141:G150 G154:G161 G165:G173 G177:G186 G190:G199">
    <cfRule type="cellIs" dxfId="55" priority="87" operator="greaterThan">
      <formula>4</formula>
    </cfRule>
  </conditionalFormatting>
  <conditionalFormatting sqref="H1:H100 H102:H199">
    <cfRule type="containsBlanks" dxfId="54" priority="88">
      <formula>LEN(TRIM(H1))=0</formula>
    </cfRule>
  </conditionalFormatting>
  <conditionalFormatting sqref="I5:I14 I18:I26 I30:I38 I42:I51 I55:I63 I67:I76 I80:I88 I92:I100 I105:I113 I117:I126 I130:I137 I141:I150 I154:I161 I165:I173 I177:I186 I190:I199">
    <cfRule type="expression" dxfId="53" priority="85">
      <formula>H5/G5&gt;=1.5</formula>
    </cfRule>
    <cfRule type="expression" dxfId="52" priority="86">
      <formula>H5/G5&lt;=0.5</formula>
    </cfRule>
  </conditionalFormatting>
  <conditionalFormatting sqref="G287:H287">
    <cfRule type="cellIs" dxfId="51" priority="52" operator="greaterThan">
      <formula>4</formula>
    </cfRule>
  </conditionalFormatting>
  <conditionalFormatting sqref="I287">
    <cfRule type="expression" dxfId="50" priority="50">
      <formula>H287/G287&gt;=1.5</formula>
    </cfRule>
    <cfRule type="expression" dxfId="49" priority="51">
      <formula>H287/G287&lt;=0.5</formula>
    </cfRule>
  </conditionalFormatting>
  <conditionalFormatting sqref="B201:B211">
    <cfRule type="containsText" dxfId="48" priority="44" operator="containsText" text="Unplanned">
      <formula>NOT(ISERROR(SEARCH(("Unplanned"),(B201))))</formula>
    </cfRule>
    <cfRule type="containsText" dxfId="47" priority="45" operator="containsText" text="Cancelled">
      <formula>NOT(ISERROR(SEARCH(("Cancelled"),(B201))))</formula>
    </cfRule>
  </conditionalFormatting>
  <conditionalFormatting sqref="B203:B210">
    <cfRule type="containsText" dxfId="46" priority="39" operator="containsText" text="Unplanned">
      <formula>NOT(ISERROR(SEARCH(("Unplanned"),(B203))))</formula>
    </cfRule>
    <cfRule type="containsText" dxfId="45" priority="40" operator="containsText" text="Planned">
      <formula>NOT(ISERROR(SEARCH(("Planned"),(B203))))</formula>
    </cfRule>
    <cfRule type="containsText" dxfId="44" priority="41" operator="containsText" text="In-Progress">
      <formula>NOT(ISERROR(SEARCH(("In-Progress"),(B203))))</formula>
    </cfRule>
    <cfRule type="containsText" dxfId="43" priority="42" operator="containsText" text="Blocked">
      <formula>NOT(ISERROR(SEARCH(("Blocked"),(B203))))</formula>
    </cfRule>
    <cfRule type="containsText" dxfId="42" priority="43" operator="containsText" text="Done">
      <formula>NOT(ISERROR(SEARCH(("Done"),(B203))))</formula>
    </cfRule>
  </conditionalFormatting>
  <conditionalFormatting sqref="G203:G211">
    <cfRule type="cellIs" dxfId="41" priority="48" operator="greaterThan">
      <formula>4</formula>
    </cfRule>
  </conditionalFormatting>
  <conditionalFormatting sqref="H200:H211">
    <cfRule type="containsBlanks" dxfId="40" priority="49">
      <formula>LEN(TRIM(H200))=0</formula>
    </cfRule>
  </conditionalFormatting>
  <conditionalFormatting sqref="I203:I211">
    <cfRule type="expression" dxfId="39" priority="46">
      <formula>H203/G203&gt;=1.5</formula>
    </cfRule>
    <cfRule type="expression" dxfId="38" priority="47">
      <formula>H203/G203&lt;=0.5</formula>
    </cfRule>
  </conditionalFormatting>
  <conditionalFormatting sqref="B213:B224">
    <cfRule type="containsText" dxfId="37" priority="33" operator="containsText" text="Unplanned">
      <formula>NOT(ISERROR(SEARCH(("Unplanned"),(B213))))</formula>
    </cfRule>
    <cfRule type="containsText" dxfId="36" priority="34" operator="containsText" text="Cancelled">
      <formula>NOT(ISERROR(SEARCH(("Cancelled"),(B213))))</formula>
    </cfRule>
  </conditionalFormatting>
  <conditionalFormatting sqref="B215:B223">
    <cfRule type="containsText" dxfId="35" priority="28" operator="containsText" text="Unplanned">
      <formula>NOT(ISERROR(SEARCH(("Unplanned"),(B215))))</formula>
    </cfRule>
    <cfRule type="containsText" dxfId="34" priority="29" operator="containsText" text="Planned">
      <formula>NOT(ISERROR(SEARCH(("Planned"),(B215))))</formula>
    </cfRule>
    <cfRule type="containsText" dxfId="33" priority="30" operator="containsText" text="In-Progress">
      <formula>NOT(ISERROR(SEARCH(("In-Progress"),(B215))))</formula>
    </cfRule>
    <cfRule type="containsText" dxfId="32" priority="31" operator="containsText" text="Blocked">
      <formula>NOT(ISERROR(SEARCH(("Blocked"),(B215))))</formula>
    </cfRule>
    <cfRule type="containsText" dxfId="31" priority="32" operator="containsText" text="Done">
      <formula>NOT(ISERROR(SEARCH(("Done"),(B215))))</formula>
    </cfRule>
  </conditionalFormatting>
  <conditionalFormatting sqref="G215:G224">
    <cfRule type="cellIs" dxfId="30" priority="37" operator="greaterThan">
      <formula>4</formula>
    </cfRule>
  </conditionalFormatting>
  <conditionalFormatting sqref="H212:H224">
    <cfRule type="containsBlanks" dxfId="29" priority="38">
      <formula>LEN(TRIM(H212))=0</formula>
    </cfRule>
  </conditionalFormatting>
  <conditionalFormatting sqref="I215:I224">
    <cfRule type="expression" dxfId="28" priority="35">
      <formula>H215/G215&gt;=1.5</formula>
    </cfRule>
    <cfRule type="expression" dxfId="27" priority="36">
      <formula>H215/G215&lt;=0.5</formula>
    </cfRule>
  </conditionalFormatting>
  <conditionalFormatting sqref="B228:B236">
    <cfRule type="containsText" dxfId="26" priority="17" operator="containsText" text="Unplanned">
      <formula>NOT(ISERROR(SEARCH(("Unplanned"),(B228))))</formula>
    </cfRule>
    <cfRule type="containsText" dxfId="25" priority="18" operator="containsText" text="Planned">
      <formula>NOT(ISERROR(SEARCH(("Planned"),(B228))))</formula>
    </cfRule>
    <cfRule type="containsText" dxfId="24" priority="19" operator="containsText" text="In-Progress">
      <formula>NOT(ISERROR(SEARCH(("In-Progress"),(B228))))</formula>
    </cfRule>
    <cfRule type="containsText" dxfId="23" priority="20" operator="containsText" text="Blocked">
      <formula>NOT(ISERROR(SEARCH(("Blocked"),(B228))))</formula>
    </cfRule>
    <cfRule type="containsText" dxfId="22" priority="21" operator="containsText" text="Done">
      <formula>NOT(ISERROR(SEARCH(("Done"),(B228))))</formula>
    </cfRule>
  </conditionalFormatting>
  <conditionalFormatting sqref="B226:B236">
    <cfRule type="containsText" dxfId="21" priority="22" operator="containsText" text="Unplanned">
      <formula>NOT(ISERROR(SEARCH(("Unplanned"),(B226))))</formula>
    </cfRule>
    <cfRule type="containsText" dxfId="20" priority="23" operator="containsText" text="Cancelled">
      <formula>NOT(ISERROR(SEARCH(("Cancelled"),(B226))))</formula>
    </cfRule>
  </conditionalFormatting>
  <conditionalFormatting sqref="B237">
    <cfRule type="containsText" dxfId="19" priority="15" operator="containsText" text="Unplanned">
      <formula>NOT(ISERROR(SEARCH(("Unplanned"),(B237))))</formula>
    </cfRule>
    <cfRule type="containsText" dxfId="18" priority="16" operator="containsText" text="Cancelled">
      <formula>NOT(ISERROR(SEARCH(("Cancelled"),(B237))))</formula>
    </cfRule>
  </conditionalFormatting>
  <conditionalFormatting sqref="G228:G237">
    <cfRule type="cellIs" dxfId="17" priority="26" operator="greaterThan">
      <formula>4</formula>
    </cfRule>
  </conditionalFormatting>
  <conditionalFormatting sqref="H225:H237">
    <cfRule type="containsBlanks" dxfId="16" priority="27">
      <formula>LEN(TRIM(H225))=0</formula>
    </cfRule>
  </conditionalFormatting>
  <conditionalFormatting sqref="I228:I237">
    <cfRule type="expression" dxfId="15" priority="24">
      <formula>H228/G228&gt;=1.5</formula>
    </cfRule>
    <cfRule type="expression" dxfId="14" priority="25">
      <formula>H228/G228&lt;=0.5</formula>
    </cfRule>
  </conditionalFormatting>
  <conditionalFormatting sqref="B239:B252">
    <cfRule type="containsText" dxfId="13" priority="9" operator="containsText" text="Unplanned">
      <formula>NOT(ISERROR(SEARCH(("Unplanned"),(B239))))</formula>
    </cfRule>
    <cfRule type="containsText" dxfId="12" priority="10" operator="containsText" text="Cancelled">
      <formula>NOT(ISERROR(SEARCH(("Cancelled"),(B239))))</formula>
    </cfRule>
  </conditionalFormatting>
  <conditionalFormatting sqref="B241:B251">
    <cfRule type="containsText" dxfId="11" priority="4" operator="containsText" text="Unplanned">
      <formula>NOT(ISERROR(SEARCH(("Unplanned"),(B241))))</formula>
    </cfRule>
    <cfRule type="containsText" dxfId="10" priority="5" operator="containsText" text="Planned">
      <formula>NOT(ISERROR(SEARCH(("Planned"),(B241))))</formula>
    </cfRule>
    <cfRule type="containsText" dxfId="9" priority="6" operator="containsText" text="In-Progress">
      <formula>NOT(ISERROR(SEARCH(("In-Progress"),(B241))))</formula>
    </cfRule>
    <cfRule type="containsText" dxfId="8" priority="7" operator="containsText" text="Blocked">
      <formula>NOT(ISERROR(SEARCH(("Blocked"),(B241))))</formula>
    </cfRule>
    <cfRule type="containsText" dxfId="7" priority="8" operator="containsText" text="Done">
      <formula>NOT(ISERROR(SEARCH(("Done"),(B241))))</formula>
    </cfRule>
  </conditionalFormatting>
  <conditionalFormatting sqref="G241:G252">
    <cfRule type="cellIs" dxfId="6" priority="13" operator="greaterThan">
      <formula>4</formula>
    </cfRule>
  </conditionalFormatting>
  <conditionalFormatting sqref="H238:H252">
    <cfRule type="containsBlanks" dxfId="5" priority="14">
      <formula>LEN(TRIM(H238))=0</formula>
    </cfRule>
  </conditionalFormatting>
  <conditionalFormatting sqref="I241:I252">
    <cfRule type="expression" dxfId="4" priority="11">
      <formula>H241/G241&gt;=1.5</formula>
    </cfRule>
    <cfRule type="expression" dxfId="3" priority="12">
      <formula>H241/G241&lt;=0.5</formula>
    </cfRule>
  </conditionalFormatting>
  <conditionalFormatting sqref="G254:H254">
    <cfRule type="cellIs" dxfId="2" priority="3" operator="greaterThan">
      <formula>4</formula>
    </cfRule>
  </conditionalFormatting>
  <conditionalFormatting sqref="I254">
    <cfRule type="expression" dxfId="1" priority="1">
      <formula>H254/G254&gt;=1.5</formula>
    </cfRule>
    <cfRule type="expression" dxfId="0" priority="2">
      <formula>H254/G254&lt;=0.5</formula>
    </cfRule>
  </conditionalFormatting>
  <hyperlinks>
    <hyperlink ref="J5" r:id="rId1"/>
    <hyperlink ref="J6" r:id="rId2"/>
    <hyperlink ref="J7" r:id="rId3"/>
    <hyperlink ref="J8" r:id="rId4"/>
    <hyperlink ref="J9" r:id="rId5"/>
    <hyperlink ref="J10" r:id="rId6"/>
    <hyperlink ref="J19" r:id="rId7"/>
    <hyperlink ref="J20" r:id="rId8"/>
    <hyperlink ref="J21" r:id="rId9"/>
    <hyperlink ref="J18" r:id="rId10"/>
    <hyperlink ref="J22" r:id="rId11"/>
    <hyperlink ref="J23" r:id="rId12"/>
    <hyperlink ref="J31" r:id="rId13"/>
    <hyperlink ref="J30" r:id="rId14"/>
    <hyperlink ref="J32" r:id="rId15"/>
    <hyperlink ref="J33" r:id="rId16"/>
    <hyperlink ref="J34" r:id="rId17"/>
  </hyperlinks>
  <pageMargins left="0.7" right="0.7" top="0.75" bottom="0.75" header="0.3" footer="0.3"/>
  <pageSetup paperSize="9" scale="52" fitToHeight="0" orientation="landscape" horizontalDpi="300" verticalDpi="300" r:id="rId18"/>
  <extLst>
    <ext xmlns:x14="http://schemas.microsoft.com/office/spreadsheetml/2009/9/main" uri="{CCE6A557-97BC-4b89-ADB6-D9C93CAAB3DF}">
      <x14:dataValidations xmlns:xm="http://schemas.microsoft.com/office/excel/2006/main" count="3">
        <x14:dataValidation type="list" allowBlank="1">
          <x14:formula1>
            <xm:f>'Drop-downs'!$B$2:$B$16</xm:f>
          </x14:formula1>
          <xm:sqref>E5:E13 E18:E25 E30:E37 E42:E50 E55:E62 E67:E75 E80:E87 E92:E98 E105:E112 E117:E125 E130:E136 E141:E149 E154:E160 E165:E172 E177:E185 E190:E198 E203:E210 E215:E223 E228:E236 E241:E251</xm:sqref>
        </x14:dataValidation>
        <x14:dataValidation type="list" allowBlank="1">
          <x14:formula1>
            <xm:f>'Drop-downs'!$A$2:$A$9</xm:f>
          </x14:formula1>
          <xm:sqref>B190:B198 B18:B25 B30:B37 B42:B50 B55:B62 B67:B75 B80:B87 B92:B98 B105:B112 B117:B125 B130:B136 B141:B149 B154:B160 B165:B172 B177:B185 B5:B13 B203:B210 B215:B223 B228:B236 B241:B251</xm:sqref>
        </x14:dataValidation>
        <x14:dataValidation type="list" allowBlank="1">
          <x14:formula1>
            <xm:f>'Drop-downs'!$C$2:$C$14</xm:f>
          </x14:formula1>
          <xm:sqref>F5:F13 F18:F25 F30:F37 F42:F50 F55:F62 F67:F75 F80:F87 F92:F98 F105:F112 F117:F125 F130:F136 F141:F149 F154:F160 F165:F172 F177:F185 F190:F198 F203:F210 F241:F251 F228:F236 F215:F223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2:K18"/>
  <sheetViews>
    <sheetView workbookViewId="0">
      <selection activeCell="B14" sqref="B14"/>
    </sheetView>
  </sheetViews>
  <sheetFormatPr defaultColWidth="14.42578125" defaultRowHeight="15" customHeight="1" x14ac:dyDescent="0.2"/>
  <cols>
    <col min="2" max="2" width="27" customWidth="1"/>
    <col min="11" max="11" width="20.42578125" customWidth="1"/>
  </cols>
  <sheetData>
    <row r="2" spans="2:11" ht="12.75" x14ac:dyDescent="0.2">
      <c r="B2" s="14" t="s">
        <v>31</v>
      </c>
      <c r="C2" s="2" t="s">
        <v>32</v>
      </c>
      <c r="D2" s="2" t="s">
        <v>33</v>
      </c>
      <c r="E2" s="2" t="s">
        <v>34</v>
      </c>
      <c r="F2" s="2" t="s">
        <v>35</v>
      </c>
      <c r="G2" s="2" t="s">
        <v>36</v>
      </c>
      <c r="H2" s="2" t="s">
        <v>37</v>
      </c>
      <c r="I2" s="2" t="s">
        <v>38</v>
      </c>
      <c r="J2" s="2" t="s">
        <v>39</v>
      </c>
      <c r="K2" s="4" t="s">
        <v>40</v>
      </c>
    </row>
    <row r="3" spans="2:11" ht="12.75" x14ac:dyDescent="0.2">
      <c r="B3" s="6" t="str">
        <f>'Drop-downs'!C2</f>
        <v>-</v>
      </c>
      <c r="C3" s="8"/>
      <c r="D3" s="8"/>
      <c r="E3" s="8"/>
      <c r="F3" s="8"/>
      <c r="G3" s="8"/>
      <c r="H3" s="8"/>
      <c r="I3" s="8"/>
      <c r="J3" s="8"/>
      <c r="K3" s="9">
        <f t="shared" ref="K3:K11" si="0">SUM(C3:J3)</f>
        <v>0</v>
      </c>
    </row>
    <row r="4" spans="2:11" ht="12.75" x14ac:dyDescent="0.2">
      <c r="B4" s="6" t="str">
        <f>'Drop-downs'!C3</f>
        <v>Research Relevance</v>
      </c>
      <c r="C4" s="12">
        <f ca="1">IFERROR(__xludf.DUMMYFUNCTION("IFERROR(SUM(FILTER('Worklog_Tasks&amp;Times'!$H$5:$H$14,'Worklog_Tasks&amp;Times'!$F$5:$F$14=$B4)),0)"),0)</f>
        <v>0</v>
      </c>
      <c r="D4" s="12"/>
      <c r="E4" s="12"/>
      <c r="F4" s="12"/>
      <c r="G4" s="12"/>
      <c r="H4" s="12"/>
      <c r="I4" s="12"/>
      <c r="J4" s="12"/>
      <c r="K4" s="9">
        <f t="shared" ca="1" si="0"/>
        <v>0</v>
      </c>
    </row>
    <row r="5" spans="2:11" ht="12.75" x14ac:dyDescent="0.2">
      <c r="B5" s="6" t="str">
        <f>'Drop-downs'!C4</f>
        <v>Research Methodology</v>
      </c>
      <c r="C5" s="12"/>
      <c r="D5" s="12"/>
      <c r="E5" s="12"/>
      <c r="F5" s="12"/>
      <c r="G5" s="12"/>
      <c r="H5" s="12"/>
      <c r="I5" s="12"/>
      <c r="J5" s="12"/>
      <c r="K5" s="9">
        <f t="shared" si="0"/>
        <v>0</v>
      </c>
    </row>
    <row r="6" spans="2:11" ht="12.75" x14ac:dyDescent="0.2">
      <c r="B6" s="6" t="str">
        <f>'Drop-downs'!C5</f>
        <v>Research Application</v>
      </c>
      <c r="C6" s="12"/>
      <c r="D6" s="12"/>
      <c r="E6" s="12"/>
      <c r="F6" s="12"/>
      <c r="G6" s="12"/>
      <c r="H6" s="12"/>
      <c r="I6" s="12"/>
      <c r="J6" s="12"/>
      <c r="K6" s="9">
        <f t="shared" si="0"/>
        <v>0</v>
      </c>
    </row>
    <row r="7" spans="2:11" ht="12.75" x14ac:dyDescent="0.2">
      <c r="B7" s="6" t="str">
        <f>'Drop-downs'!C6</f>
        <v>Product Usefulness</v>
      </c>
      <c r="C7" s="12"/>
      <c r="D7" s="12"/>
      <c r="E7" s="12"/>
      <c r="F7" s="12"/>
      <c r="G7" s="12"/>
      <c r="H7" s="12"/>
      <c r="I7" s="12"/>
      <c r="J7" s="12"/>
      <c r="K7" s="9">
        <f t="shared" si="0"/>
        <v>0</v>
      </c>
    </row>
    <row r="8" spans="2:11" ht="12.75" x14ac:dyDescent="0.2">
      <c r="B8" s="6" t="str">
        <f>'Drop-downs'!C7</f>
        <v>Product Quality</v>
      </c>
      <c r="C8" s="12"/>
      <c r="D8" s="12"/>
      <c r="E8" s="12"/>
      <c r="F8" s="12"/>
      <c r="G8" s="12"/>
      <c r="H8" s="12"/>
      <c r="I8" s="12"/>
      <c r="J8" s="12"/>
      <c r="K8" s="9">
        <f t="shared" ref="K8" si="1">SUM(C8:J8)</f>
        <v>0</v>
      </c>
    </row>
    <row r="9" spans="2:11" ht="12.75" x14ac:dyDescent="0.2">
      <c r="B9" s="6" t="str">
        <f>'Drop-downs'!C8</f>
        <v>Project Management - Process</v>
      </c>
      <c r="C9" s="12"/>
      <c r="D9" s="12"/>
      <c r="E9" s="12"/>
      <c r="F9" s="12"/>
      <c r="G9" s="12"/>
      <c r="H9" s="12"/>
      <c r="I9" s="12"/>
      <c r="J9" s="12"/>
      <c r="K9" s="9">
        <f t="shared" si="0"/>
        <v>0</v>
      </c>
    </row>
    <row r="10" spans="2:11" ht="12.75" x14ac:dyDescent="0.2">
      <c r="B10" s="6" t="str">
        <f>'Drop-downs'!C9</f>
        <v xml:space="preserve">Project Management - Risk </v>
      </c>
      <c r="C10" s="12"/>
      <c r="D10" s="12"/>
      <c r="E10" s="12"/>
      <c r="F10" s="12"/>
      <c r="G10" s="12"/>
      <c r="H10" s="12"/>
      <c r="I10" s="12"/>
      <c r="J10" s="12"/>
      <c r="K10" s="9">
        <f t="shared" si="0"/>
        <v>0</v>
      </c>
    </row>
    <row r="11" spans="2:11" ht="12.75" x14ac:dyDescent="0.2">
      <c r="B11" s="6" t="str">
        <f>'Drop-downs'!C10</f>
        <v>Professionalism - Collaboration</v>
      </c>
      <c r="C11" s="12"/>
      <c r="D11" s="12"/>
      <c r="E11" s="12"/>
      <c r="F11" s="12"/>
      <c r="G11" s="12"/>
      <c r="H11" s="12"/>
      <c r="I11" s="12"/>
      <c r="J11" s="12"/>
      <c r="K11" s="9">
        <f t="shared" si="0"/>
        <v>0</v>
      </c>
    </row>
    <row r="12" spans="2:11" ht="12.75" x14ac:dyDescent="0.2">
      <c r="B12" s="14" t="s">
        <v>41</v>
      </c>
      <c r="C12" s="15">
        <f ca="1">SUM(C3:C11)</f>
        <v>0</v>
      </c>
      <c r="D12" s="15">
        <f t="shared" ref="D12:J12" si="2">SUM(D3:D11)</f>
        <v>0</v>
      </c>
      <c r="E12" s="15">
        <f t="shared" si="2"/>
        <v>0</v>
      </c>
      <c r="F12" s="15">
        <f t="shared" si="2"/>
        <v>0</v>
      </c>
      <c r="G12" s="15">
        <f t="shared" si="2"/>
        <v>0</v>
      </c>
      <c r="H12" s="15">
        <f t="shared" si="2"/>
        <v>0</v>
      </c>
      <c r="I12" s="15">
        <f t="shared" si="2"/>
        <v>0</v>
      </c>
      <c r="J12" s="15">
        <f t="shared" si="2"/>
        <v>0</v>
      </c>
      <c r="K12" s="17"/>
    </row>
    <row r="13" spans="2:11" ht="12.75" x14ac:dyDescent="0.2">
      <c r="B13" s="19"/>
      <c r="C13" s="20"/>
      <c r="D13" s="20"/>
      <c r="E13" s="20"/>
      <c r="F13" s="20"/>
      <c r="G13" s="20"/>
      <c r="H13" s="20"/>
      <c r="I13" s="20"/>
      <c r="J13" s="20"/>
      <c r="K13" s="20"/>
    </row>
    <row r="14" spans="2:11" ht="15" customHeight="1" x14ac:dyDescent="0.2">
      <c r="B14" s="79" t="s">
        <v>42</v>
      </c>
      <c r="C14" s="80"/>
      <c r="D14" s="80"/>
      <c r="E14" s="80"/>
      <c r="F14" s="80"/>
      <c r="G14" s="80"/>
      <c r="H14" s="80"/>
      <c r="I14" s="80"/>
      <c r="J14" s="80"/>
      <c r="K14" s="80"/>
    </row>
    <row r="18" spans="2:7" ht="15" customHeight="1" x14ac:dyDescent="0.2">
      <c r="B18" s="81" t="s">
        <v>43</v>
      </c>
      <c r="C18" s="80"/>
      <c r="D18" s="80"/>
      <c r="E18" s="80"/>
      <c r="F18" s="80"/>
      <c r="G18" s="80"/>
    </row>
  </sheetData>
  <mergeCells count="2">
    <mergeCell ref="B14:K14"/>
    <mergeCell ref="B18:G18"/>
  </mergeCells>
  <conditionalFormatting sqref="C12:J12">
    <cfRule type="colorScale" priority="1">
      <colorScale>
        <cfvo type="formula" val="20"/>
        <cfvo type="formula" val="40"/>
        <color rgb="FFE67C73"/>
        <color rgb="FF57BB8A"/>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workbookViewId="0">
      <selection activeCell="C15" sqref="C15"/>
    </sheetView>
  </sheetViews>
  <sheetFormatPr defaultColWidth="14.42578125" defaultRowHeight="15" customHeight="1" x14ac:dyDescent="0.2"/>
  <cols>
    <col min="1" max="6" width="14.42578125" customWidth="1"/>
  </cols>
  <sheetData>
    <row r="1" spans="1:3" ht="15.75" customHeight="1" x14ac:dyDescent="0.2">
      <c r="A1" s="1" t="s">
        <v>44</v>
      </c>
      <c r="B1" s="1" t="s">
        <v>4</v>
      </c>
      <c r="C1" s="1" t="s">
        <v>45</v>
      </c>
    </row>
    <row r="2" spans="1:3" ht="15.75" customHeight="1" x14ac:dyDescent="0.2">
      <c r="A2" t="s">
        <v>46</v>
      </c>
      <c r="B2" t="s">
        <v>46</v>
      </c>
      <c r="C2" s="11" t="s">
        <v>46</v>
      </c>
    </row>
    <row r="3" spans="1:3" ht="15.75" customHeight="1" x14ac:dyDescent="0.2">
      <c r="A3" t="s">
        <v>47</v>
      </c>
      <c r="B3" t="s">
        <v>48</v>
      </c>
      <c r="C3" s="11" t="s">
        <v>49</v>
      </c>
    </row>
    <row r="4" spans="1:3" ht="15.75" customHeight="1" x14ac:dyDescent="0.2">
      <c r="A4" t="s">
        <v>50</v>
      </c>
      <c r="B4" t="s">
        <v>51</v>
      </c>
      <c r="C4" s="11" t="s">
        <v>52</v>
      </c>
    </row>
    <row r="5" spans="1:3" ht="15.75" customHeight="1" x14ac:dyDescent="0.2">
      <c r="A5" t="s">
        <v>53</v>
      </c>
      <c r="B5" t="s">
        <v>54</v>
      </c>
      <c r="C5" s="11" t="s">
        <v>55</v>
      </c>
    </row>
    <row r="6" spans="1:3" ht="15.75" customHeight="1" x14ac:dyDescent="0.2">
      <c r="A6" t="s">
        <v>56</v>
      </c>
      <c r="B6" t="s">
        <v>57</v>
      </c>
      <c r="C6" s="11" t="s">
        <v>58</v>
      </c>
    </row>
    <row r="7" spans="1:3" ht="15.75" customHeight="1" x14ac:dyDescent="0.2">
      <c r="A7" t="s">
        <v>59</v>
      </c>
      <c r="B7" t="s">
        <v>60</v>
      </c>
      <c r="C7" s="11" t="s">
        <v>61</v>
      </c>
    </row>
    <row r="8" spans="1:3" ht="15.75" customHeight="1" x14ac:dyDescent="0.2">
      <c r="A8" t="s">
        <v>62</v>
      </c>
      <c r="B8" t="s">
        <v>63</v>
      </c>
      <c r="C8" s="11" t="s">
        <v>64</v>
      </c>
    </row>
    <row r="9" spans="1:3" ht="15.75" customHeight="1" x14ac:dyDescent="0.2">
      <c r="A9" t="s">
        <v>65</v>
      </c>
      <c r="B9" s="11" t="s">
        <v>66</v>
      </c>
      <c r="C9" s="11" t="s">
        <v>67</v>
      </c>
    </row>
    <row r="10" spans="1:3" ht="15.75" customHeight="1" x14ac:dyDescent="0.2">
      <c r="B10" s="11" t="s">
        <v>68</v>
      </c>
      <c r="C10" s="11" t="s">
        <v>69</v>
      </c>
    </row>
    <row r="11" spans="1:3" ht="15.75" customHeight="1" x14ac:dyDescent="0.2">
      <c r="B11" s="11" t="s">
        <v>70</v>
      </c>
      <c r="C11" s="11" t="s">
        <v>71</v>
      </c>
    </row>
    <row r="12" spans="1:3" ht="15.75" customHeight="1" x14ac:dyDescent="0.2">
      <c r="B12" s="11" t="s">
        <v>72</v>
      </c>
      <c r="C12" s="11" t="s">
        <v>73</v>
      </c>
    </row>
    <row r="13" spans="1:3" ht="15.75" customHeight="1" x14ac:dyDescent="0.2">
      <c r="B13" s="11" t="s">
        <v>74</v>
      </c>
      <c r="C13" s="11" t="s">
        <v>75</v>
      </c>
    </row>
    <row r="14" spans="1:3" ht="15.75" customHeight="1" x14ac:dyDescent="0.2">
      <c r="B14" s="11" t="s">
        <v>50</v>
      </c>
      <c r="C14" s="11" t="s">
        <v>76</v>
      </c>
    </row>
    <row r="15" spans="1:3" ht="15.75" customHeight="1" x14ac:dyDescent="0.2">
      <c r="B15" s="11" t="s">
        <v>77</v>
      </c>
    </row>
    <row r="16" spans="1:3" ht="15.75" customHeight="1" x14ac:dyDescent="0.2">
      <c r="B16" s="11" t="s">
        <v>78</v>
      </c>
    </row>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5" ma:contentTypeDescription="Een nieuw document maken." ma:contentTypeScope="" ma:versionID="fe102fc92a60fb44f88498837809608c">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02f72fefe31d96546aeabc284eee7b20"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f92c65-ed86-4457-baee-ccd535c9ea21">
      <Terms xmlns="http://schemas.microsoft.com/office/infopath/2007/PartnerControls"/>
    </lcf76f155ced4ddcb4097134ff3c332f>
    <TaxCatchAll xmlns="6c8d291c-a5bf-4049-930d-38db8e991d8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01B52F-B381-4AF0-AEAA-A07715E93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92c65-ed86-4457-baee-ccd535c9ea21"/>
    <ds:schemaRef ds:uri="6c8d291c-a5bf-4049-930d-38db8e991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0CF63A-30C9-4A8C-8DF9-EA62B8EC1A62}">
  <ds:schemaRefs>
    <ds:schemaRef ds:uri="http://schemas.microsoft.com/office/2006/metadata/properties"/>
    <ds:schemaRef ds:uri="http://schemas.microsoft.com/office/infopath/2007/PartnerControls"/>
    <ds:schemaRef ds:uri="5ff92c65-ed86-4457-baee-ccd535c9ea21"/>
    <ds:schemaRef ds:uri="6c8d291c-a5bf-4049-930d-38db8e991d8e"/>
  </ds:schemaRefs>
</ds:datastoreItem>
</file>

<file path=customXml/itemProps3.xml><?xml version="1.0" encoding="utf-8"?>
<ds:datastoreItem xmlns:ds="http://schemas.openxmlformats.org/officeDocument/2006/customXml" ds:itemID="{67A64A65-7DA4-4AE1-9847-B817073E47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Worklog_Tasks&amp;Times</vt:lpstr>
      <vt:lpstr>Overview</vt:lpstr>
      <vt:lpstr>Drop-downs</vt:lpstr>
      <vt:lpstr>'Worklog_Tasks&amp;Times'!Print_Area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Buckens, Myrthe</dc:creator>
  <cp:keywords/>
  <dc:description/>
  <cp:lastModifiedBy>Vladi Stoimenov</cp:lastModifiedBy>
  <cp:revision/>
  <dcterms:created xsi:type="dcterms:W3CDTF">2020-05-11T09:26:10Z</dcterms:created>
  <dcterms:modified xsi:type="dcterms:W3CDTF">2026-10-11T18:56:57Z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ies>
</file>