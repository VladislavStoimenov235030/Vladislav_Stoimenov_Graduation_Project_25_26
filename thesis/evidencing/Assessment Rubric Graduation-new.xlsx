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vl4di\OneDrive - BUas\GitHub\Vladislav_Stoimenov_Graduation_Project_25_26\thesis\evidencing\"/>
    </mc:Choice>
  </mc:AlternateContent>
  <bookViews>
    <workbookView xWindow="0" yWindow="660" windowWidth="34560" windowHeight="21675"/>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0" i="1" l="1"/>
  <c r="H55" i="1" l="1"/>
  <c r="H49" i="1"/>
  <c r="H42" i="1"/>
  <c r="H36" i="1"/>
  <c r="H58" i="1" l="1"/>
</calcChain>
</file>

<file path=xl/sharedStrings.xml><?xml version="1.0" encoding="utf-8"?>
<sst xmlns="http://schemas.openxmlformats.org/spreadsheetml/2006/main" count="822" uniqueCount="82">
  <si>
    <t> </t>
  </si>
  <si>
    <t>Assessment Rubric</t>
  </si>
  <si>
    <t>Graduation project ADS&amp;AI</t>
  </si>
  <si>
    <t xml:space="preserve">30 ECTS </t>
  </si>
  <si>
    <t xml:space="preserve">Data Science and AI Year 4 </t>
  </si>
  <si>
    <t>In order to obtain a passing grade, the student needs to pass every category A-E.</t>
  </si>
  <si>
    <t xml:space="preserve">For every subsection, a grade between 0-10 needs to be assigned. </t>
  </si>
  <si>
    <t>between 9-10</t>
  </si>
  <si>
    <t>student went above and beyond and exceeded expectations.</t>
  </si>
  <si>
    <t>between 5.5-8</t>
  </si>
  <si>
    <t>student met the expectations in an appropriate manner.</t>
  </si>
  <si>
    <t>between 4-5.4</t>
  </si>
  <si>
    <t>student partially met the expectations, but there is clear room for improvement.</t>
  </si>
  <si>
    <t>between 0-4</t>
  </si>
  <si>
    <t>student did not meet the expectations or the work is incomplete or missing.</t>
  </si>
  <si>
    <t>General Information</t>
  </si>
  <si>
    <t>Student Name</t>
  </si>
  <si>
    <t>Student Number</t>
  </si>
  <si>
    <t>Client/Project</t>
  </si>
  <si>
    <t>Academic Year</t>
  </si>
  <si>
    <t>Opportunity</t>
  </si>
  <si>
    <t>Assessor</t>
  </si>
  <si>
    <t>Date</t>
  </si>
  <si>
    <t>Intended Learning Outcomes and Assessment Indicators for the purpose of obtaining a bachelor’s degree in Data Science and AI</t>
  </si>
  <si>
    <t>Grade</t>
  </si>
  <si>
    <t>A</t>
  </si>
  <si>
    <t>RESEARCH</t>
  </si>
  <si>
    <t>The student demonstrates the ability to conduct research according to data science and AI industry standards and apply knowledge in a professional context.</t>
  </si>
  <si>
    <t>Relevance</t>
  </si>
  <si>
    <t>The problem or issue that needs to be solved is relevant to the commissioned product and is clearly identified and extensively analyzed.</t>
  </si>
  <si>
    <t>Methodology</t>
  </si>
  <si>
    <t>Appropriate methodology adapted to the scope and expected outcomes are used to analyse extensive and diverse data from a wide variety of applicable sources, minimizing the risk of biases.</t>
  </si>
  <si>
    <t>Application</t>
  </si>
  <si>
    <t>The gathered data, appropriate models, and knowledge and skills from the Data Science and AI curriculum are clearly applied and inform and support all important decisions and/or evaluations related to the main product.</t>
  </si>
  <si>
    <t>Grade for ILO A</t>
  </si>
  <si>
    <t>B</t>
  </si>
  <si>
    <t>PRODUCT</t>
  </si>
  <si>
    <t>The student demonstrates the ability to create and deliver a professional product that meets the standards of the Data Science and AI industry.</t>
  </si>
  <si>
    <t>Usefulness</t>
  </si>
  <si>
    <t xml:space="preserve">
The product appropriately and clearly reaches the identified goal. This is supported by testing/evaluating with stakeholders.</t>
  </si>
  <si>
    <t>Quality</t>
  </si>
  <si>
    <t xml:space="preserve">
The product is of professional quality, according to industry standards, and is ready to use for the intended purpose.</t>
  </si>
  <si>
    <t>Grade for ILO B</t>
  </si>
  <si>
    <t>C</t>
  </si>
  <si>
    <t>PROJECT MANAGEMENT</t>
  </si>
  <si>
    <t>The student demonstrates the ability to manage the process that leads to the completion of the product in a professional manner and according to industry standards.</t>
  </si>
  <si>
    <t>Process</t>
  </si>
  <si>
    <t xml:space="preserve">
Appropriate phases for the product development have all been excellently implemented and carried out according to professional standards.</t>
  </si>
  <si>
    <t>Risk management</t>
  </si>
  <si>
    <t xml:space="preserve">
Risk management is implemented during the project, and is professional and thoroughly supported by an appropriate framework or model to analyze the encountered risks and risks are mitigated where possible.</t>
  </si>
  <si>
    <t>Grade for ILO C</t>
  </si>
  <si>
    <t>D</t>
  </si>
  <si>
    <t>PROFESSIONALISM</t>
  </si>
  <si>
    <t>The student demonstrates the ability to professionally communicate and collaborate in a business context.</t>
  </si>
  <si>
    <t>Collaboration</t>
  </si>
  <si>
    <t>Key stakeholders and a broad network of experts have appropriately been involved in the process according to industry expectations.</t>
  </si>
  <si>
    <t>Ethics &amp; Legal</t>
  </si>
  <si>
    <t>Regional and international relevant ethical and legal framworks and methodologies are extensively discussed in the portfolio, appropriately acted upon according to industry standards, and are clearly evident in the decisions made.</t>
  </si>
  <si>
    <t>Communication</t>
  </si>
  <si>
    <t xml:space="preserve">Complex information, ideas, problems, and solutions are conveyed to specialist and non-specialist parties in a clear and engaging way. </t>
  </si>
  <si>
    <t>Grade for ILO D</t>
  </si>
  <si>
    <t>E</t>
  </si>
  <si>
    <t>LEARNING</t>
  </si>
  <si>
    <t>The student demonstrates the ability to systematically reflect, learn, and request feedback on professional products, processes, and behavior, and apply where appropriate.</t>
  </si>
  <si>
    <t>Feedback</t>
  </si>
  <si>
    <t>Appropriate methods to request feedback from experts and stakeholders have been implemented to enable the student to reflect on professional products, processes, and behavior.</t>
  </si>
  <si>
    <t>Implementation</t>
  </si>
  <si>
    <t>The student clearly and concisely describes important insights from reflection and feedback, and takes appropriate action to modify products, processes, and/or behavior based on those insights.</t>
  </si>
  <si>
    <t>Grade for ILO E</t>
  </si>
  <si>
    <r>
      <t xml:space="preserve">FINAL GRADE  
</t>
    </r>
    <r>
      <rPr>
        <b/>
        <i/>
        <sz val="11"/>
        <color rgb="FF0E2841"/>
        <rFont val="Calibri"/>
        <family val="2"/>
      </rPr>
      <t>(=input for discussion with co-assessors)</t>
    </r>
  </si>
  <si>
    <t>Grade Deliberation / Final Comments</t>
  </si>
  <si>
    <t>Vladislav Stoimenov</t>
  </si>
  <si>
    <t> Road Damage Detection and Risk-Aware Geospatial Routing for Road Maintenance Prioritisation</t>
  </si>
  <si>
    <t>2026/2027</t>
  </si>
  <si>
    <t>1st</t>
  </si>
  <si>
    <t>Karna Rewatkar</t>
  </si>
  <si>
    <t>Across Relevance, Methodology, and Application, this project is backed by substantial, concrete evidence rather than general claims: a defined academic gap, a rigorous quantitative-plus-qualitative evaluation design, and research results that were directly deployed into a working application rather than left as isolated findings. The main limitation across all three is that this was an individually initiated project without an external commissioning organisation, so relevance and application were validated through peer feedback, supervisor input, and an independent usability study rather than a formal client relationship, and some identified limitations (domain gap, detection recall) were addressed but not fully closed within the project's scope.</t>
  </si>
  <si>
    <t>The product moves beyond a research demo into something genuinely tested and used: quantitative routing results show a real, measurable safety benefit, and real users independently rated the system as clear and trustworthy enough to use. Code quality is professional and modular rather than a single script, using industry-standard models and tools throughout. The main gaps are scale rather than substance: testing involved ten usability participants and a single neighbourhood's data rather than a full municipal deployment, and a small number of quality issues were only surfaced through testing rather than anticipated in advance, which is expected for a prototype at this stage but limits the score below a perfect 10.</t>
  </si>
  <si>
    <t>Project management was structured and evidenced throughout: a phased plan aligned to the approved proposal, continuous progress tracking, and regular supervisor check-ins. More importantly, problems that did arise, data imbalance, insufficient risk coverage for routing, a detection-recall shortfall, were each properly diagnosed and fixed rather than papered over, with the reasoning documented in code comments and the thesis discussion. The main limitation is that risk identification was mostly reactive (found during data auditing or hypothesis testing) rather than planned for in advance with a formal risk register, which is reasonable for a solo academic project but keeps this below a perfect score.</t>
  </si>
  <si>
    <t>Professional collaboration, ethics, and communication were all handled with real depth rather than box-ticking: peer and supervisor feedback shaped concrete decisions, GDPR and privacy risks were worked through specifically rather than generically, and the same technical content was deliberately explained differently across academic, developer, and non-technical registers, down to the live application itself. The main limitation across all three is scope, this is an individual project with a small, defined collaborator group rather than a broad professional network, some ethical/legal gaps were honestly named but intentionally left unresolved given the project's local-prototype scale, and no separate presentation/demo artifact exists beyond this Learning Log.</t>
  </si>
  <si>
    <t>Reflection and feedback were treated as an ongoing loop throughout the project rather than a one-off step: each major piece of feedback or evaluation result, proposal review, supervisor input, usability testing, hypothesis test outcomes, is matched to a specific, documented change in the product or research approach, not just a written acknowledgement. The main limitation is that feedback-seeking clustered around defined checkpoints (proposal stage, supervisor meetings, final usability study) rather than being continuous throughout every development phase, and a few usability-driven suggestions were identified but intentionally deferred to future work given the project's timeframe.</t>
  </si>
  <si>
    <t> Strong, consistently evidenced work across all ILOs: a clear research gap, rigorous methodology, results that were actually deployed into the product, and a documented feedback-to-implementation loop. The main limitation throughout is scale, an individual project validated by a supervisor, peer reviewers, and a small usability study rather than a full external deployment, with a few gaps honestly left as future work. 7.96 reflects solid work with clearly stated, reasonable limitations.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</si>
</sst>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2"/>
      <color theme="1"/>
      <name val="Aptos Narrow"/>
      <family val="2"/>
      <scheme val="minor"/>
    </font>
    <font>
      <sz val="11"/>
      <color rgb="FF000000"/>
      <name val="Calibri"/>
      <family val="2"/>
    </font>
    <font>
      <b/>
      <sz val="20"/>
      <color rgb="FF000000"/>
      <name val="Calibri"/>
      <family val="2"/>
    </font>
    <font>
      <sz val="8"/>
      <color rgb="FF000000"/>
      <name val="Calibri"/>
      <family val="2"/>
    </font>
    <font>
      <sz val="11"/>
      <color theme="1"/>
      <name val="Calibri"/>
      <family val="2"/>
    </font>
    <font>
      <sz val="12"/>
      <color rgb="FF000000"/>
      <name val="Calibri"/>
      <family val="2"/>
    </font>
    <font>
      <sz val="8"/>
      <color rgb="FF156082"/>
      <name val="Calibri"/>
      <family val="2"/>
    </font>
    <font>
      <b/>
      <sz val="14"/>
      <color rgb="FFFFFFFF"/>
      <name val="Calibri"/>
      <family val="2"/>
    </font>
    <font>
      <sz val="16"/>
      <color rgb="FFFFFFFF"/>
      <name val="Calibri"/>
      <family val="2"/>
    </font>
    <font>
      <sz val="11"/>
      <name val="Calibri"/>
      <family val="2"/>
    </font>
    <font>
      <sz val="14"/>
      <color rgb="FF000000"/>
      <name val="Calibri"/>
      <family val="2"/>
    </font>
    <font>
      <b/>
      <sz val="16"/>
      <color rgb="FFFFFFFF"/>
      <name val="Calibri"/>
      <family val="2"/>
    </font>
    <font>
      <b/>
      <sz val="26"/>
      <color rgb="FF000000"/>
      <name val="Calibri"/>
      <family val="2"/>
    </font>
    <font>
      <b/>
      <sz val="12"/>
      <color rgb="FF000000"/>
      <name val="Calibri"/>
      <family val="2"/>
    </font>
    <font>
      <b/>
      <sz val="16"/>
      <color rgb="FF000000"/>
      <name val="Calibri"/>
      <family val="2"/>
    </font>
    <font>
      <b/>
      <sz val="14"/>
      <color rgb="FF000000"/>
      <name val="Calibri"/>
      <family val="2"/>
    </font>
    <font>
      <b/>
      <sz val="10"/>
      <color rgb="FF000000"/>
      <name val="Calibri"/>
      <family val="2"/>
    </font>
    <font>
      <b/>
      <sz val="10"/>
      <color rgb="FFE97132"/>
      <name val="Calibri"/>
      <family val="2"/>
    </font>
    <font>
      <sz val="10"/>
      <color rgb="FF000000"/>
      <name val="Calibri"/>
      <family val="2"/>
    </font>
    <font>
      <b/>
      <sz val="11"/>
      <color rgb="FF000000"/>
      <name val="Calibri"/>
      <family val="2"/>
    </font>
    <font>
      <sz val="10"/>
      <color rgb="FFE97132"/>
      <name val="Calibri"/>
      <family val="2"/>
    </font>
    <font>
      <b/>
      <sz val="16"/>
      <color rgb="FF0E2841"/>
      <name val="Calibri"/>
      <family val="2"/>
    </font>
    <font>
      <b/>
      <i/>
      <sz val="11"/>
      <color rgb="FF0E2841"/>
      <name val="Calibri"/>
      <family val="2"/>
    </font>
    <font>
      <b/>
      <sz val="28"/>
      <color rgb="FF0E2841"/>
      <name val="Calibri"/>
      <family val="2"/>
    </font>
    <font>
      <sz val="14"/>
      <color rgb="FFFFFFFF"/>
      <name val="Calibri"/>
      <family val="2"/>
    </font>
    <font>
      <sz val="10"/>
      <name val="Calibri"/>
      <family val="2"/>
    </font>
    <font>
      <sz val="11"/>
      <color rgb="FF156082"/>
      <name val="Calibri"/>
      <family val="2"/>
    </font>
  </fonts>
  <fills count="11">
    <fill>
      <patternFill patternType="none"/>
    </fill>
    <fill>
      <patternFill patternType="gray125"/>
    </fill>
    <fill>
      <patternFill patternType="solid">
        <fgColor theme="5" tint="0.79998168889431442"/>
        <bgColor indexed="64"/>
      </patternFill>
    </fill>
    <fill>
      <patternFill patternType="solid">
        <fgColor rgb="FFFFFFFF"/>
        <bgColor rgb="FF000000"/>
      </patternFill>
    </fill>
    <fill>
      <patternFill patternType="solid">
        <fgColor theme="0"/>
        <bgColor indexed="64"/>
      </patternFill>
    </fill>
    <fill>
      <patternFill patternType="solid">
        <fgColor rgb="FFE97132"/>
        <bgColor rgb="FF000000"/>
      </patternFill>
    </fill>
    <fill>
      <patternFill patternType="solid">
        <fgColor rgb="FFC0E6F5"/>
        <bgColor rgb="FF000000"/>
      </patternFill>
    </fill>
    <fill>
      <patternFill patternType="solid">
        <fgColor theme="5"/>
        <bgColor indexed="64"/>
      </patternFill>
    </fill>
    <fill>
      <patternFill patternType="solid">
        <fgColor rgb="FFECC8AF"/>
        <bgColor indexed="64"/>
      </patternFill>
    </fill>
    <fill>
      <patternFill patternType="solid">
        <fgColor rgb="FFFF7E79"/>
        <bgColor rgb="FF000000"/>
      </patternFill>
    </fill>
    <fill>
      <patternFill patternType="solid">
        <fgColor rgb="FFFBF2D1"/>
        <bgColor indexed="64"/>
      </patternFill>
    </fill>
  </fills>
  <borders count="24">
    <border>
      <left/>
      <right/>
      <top/>
      <bottom/>
      <diagonal/>
    </border>
    <border>
      <left style="medium">
        <color rgb="FFFFFFFF"/>
      </left>
      <right/>
      <top style="medium">
        <color rgb="FFFFFFFF"/>
      </top>
      <bottom/>
      <diagonal/>
    </border>
    <border>
      <left/>
      <right/>
      <top style="medium">
        <color rgb="FFFFFFFF"/>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FFFFFF"/>
      </left>
      <right/>
      <top/>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top/>
      <bottom/>
      <diagonal/>
    </border>
    <border>
      <left/>
      <right style="thin">
        <color rgb="FFFFFFFF"/>
      </right>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right/>
      <top/>
      <bottom style="medium">
        <color rgb="FFFFFFFF"/>
      </bottom>
      <diagonal/>
    </border>
    <border>
      <left style="medium">
        <color rgb="FFFFFFFF"/>
      </left>
      <right/>
      <top style="medium">
        <color rgb="FFFFFFFF"/>
      </top>
      <bottom style="thin">
        <color rgb="FFFFFFFF"/>
      </bottom>
      <diagonal/>
    </border>
    <border>
      <left/>
      <right style="medium">
        <color rgb="FFFFFFFF"/>
      </right>
      <top style="medium">
        <color rgb="FFFFFFFF"/>
      </top>
      <bottom style="thin">
        <color rgb="FFFFFFFF"/>
      </bottom>
      <diagonal/>
    </border>
    <border>
      <left/>
      <right/>
      <top style="medium">
        <color rgb="FFFFFFFF"/>
      </top>
      <bottom style="thin">
        <color rgb="FFFFFFFF"/>
      </bottom>
      <diagonal/>
    </border>
    <border>
      <left style="medium">
        <color rgb="FFFFFFFF"/>
      </left>
      <right style="thin">
        <color rgb="FFFFFFFF"/>
      </right>
      <top/>
      <bottom/>
      <diagonal/>
    </border>
    <border>
      <left/>
      <right/>
      <top style="thin">
        <color rgb="FFFFFFFF"/>
      </top>
      <bottom style="thin">
        <color rgb="FFFFFFFF"/>
      </bottom>
      <diagonal/>
    </border>
    <border>
      <left style="thin">
        <color rgb="FFFFFFFF"/>
      </left>
      <right/>
      <top style="thin">
        <color rgb="FFFFFFFF"/>
      </top>
      <bottom style="thin">
        <color rgb="FFFFFFFF"/>
      </bottom>
      <diagonal/>
    </border>
    <border>
      <left style="medium">
        <color rgb="FFFFFFFF"/>
      </left>
      <right/>
      <top/>
      <bottom style="medium">
        <color rgb="FFFFFFFF"/>
      </bottom>
      <diagonal/>
    </border>
    <border>
      <left/>
      <right/>
      <top/>
      <bottom style="thin">
        <color rgb="FFFFFFFF"/>
      </bottom>
      <diagonal/>
    </border>
  </borders>
  <cellStyleXfs count="1">
    <xf numFmtId="0" fontId="0" fillId="0" borderId="0"/>
  </cellStyleXfs>
  <cellXfs count="114">
    <xf numFmtId="0" fontId="0" fillId="0" borderId="0" xfId="0"/>
    <xf numFmtId="0" fontId="1" fillId="2" borderId="1" xfId="0" applyFont="1" applyFill="1" applyBorder="1" applyProtection="1">
      <protection locked="0"/>
    </xf>
    <xf numFmtId="0" fontId="3" fillId="2" borderId="2" xfId="0" applyFont="1" applyFill="1" applyBorder="1" applyProtection="1">
      <protection locked="0"/>
    </xf>
    <xf numFmtId="0" fontId="1" fillId="3" borderId="3" xfId="0" applyFont="1" applyFill="1" applyBorder="1" applyProtection="1">
      <protection locked="0"/>
    </xf>
    <xf numFmtId="0" fontId="1" fillId="3" borderId="4" xfId="0" applyFont="1" applyFill="1" applyBorder="1" applyProtection="1">
      <protection locked="0"/>
    </xf>
    <xf numFmtId="0" fontId="4" fillId="4" borderId="0" xfId="0" applyFont="1" applyFill="1" applyProtection="1">
      <protection locked="0"/>
    </xf>
    <xf numFmtId="0" fontId="1" fillId="2" borderId="5" xfId="0" applyFont="1" applyFill="1" applyBorder="1" applyProtection="1">
      <protection locked="0"/>
    </xf>
    <xf numFmtId="0" fontId="3" fillId="2" borderId="0" xfId="0" applyFont="1" applyFill="1" applyProtection="1">
      <protection locked="0"/>
    </xf>
    <xf numFmtId="0" fontId="1" fillId="3" borderId="6" xfId="0" applyFont="1" applyFill="1" applyBorder="1" applyProtection="1">
      <protection locked="0"/>
    </xf>
    <xf numFmtId="0" fontId="1" fillId="0" borderId="7" xfId="0" applyFont="1" applyBorder="1" applyProtection="1">
      <protection locked="0"/>
    </xf>
    <xf numFmtId="0" fontId="1" fillId="3" borderId="7" xfId="0" applyFont="1" applyFill="1" applyBorder="1" applyProtection="1">
      <protection locked="0"/>
    </xf>
    <xf numFmtId="0" fontId="5" fillId="2" borderId="0" xfId="0" applyFont="1" applyFill="1" applyProtection="1">
      <protection locked="0"/>
    </xf>
    <xf numFmtId="0" fontId="5" fillId="2" borderId="0" xfId="0" applyFont="1" applyFill="1" applyAlignment="1" applyProtection="1">
      <alignment wrapText="1"/>
      <protection locked="0"/>
    </xf>
    <xf numFmtId="0" fontId="5" fillId="2" borderId="0" xfId="0" applyFont="1" applyFill="1" applyAlignment="1" applyProtection="1">
      <alignment vertical="center"/>
      <protection locked="0"/>
    </xf>
    <xf numFmtId="0" fontId="6" fillId="2" borderId="0" xfId="0" applyFont="1" applyFill="1" applyProtection="1">
      <protection locked="0"/>
    </xf>
    <xf numFmtId="0" fontId="5" fillId="0" borderId="6" xfId="0" applyFont="1" applyBorder="1" applyProtection="1">
      <protection locked="0"/>
    </xf>
    <xf numFmtId="0" fontId="7" fillId="5" borderId="0" xfId="0" applyFont="1" applyFill="1" applyAlignment="1" applyProtection="1">
      <alignment wrapText="1"/>
      <protection locked="0"/>
    </xf>
    <xf numFmtId="0" fontId="7" fillId="5" borderId="0" xfId="0" applyFont="1" applyFill="1" applyAlignment="1" applyProtection="1">
      <alignment vertical="center" wrapText="1"/>
      <protection locked="0"/>
    </xf>
    <xf numFmtId="0" fontId="7" fillId="5" borderId="0" xfId="0" applyFont="1" applyFill="1" applyProtection="1">
      <protection locked="0"/>
    </xf>
    <xf numFmtId="0" fontId="7" fillId="5" borderId="0" xfId="0" applyFont="1" applyFill="1" applyAlignment="1" applyProtection="1">
      <alignment vertical="center"/>
      <protection locked="0"/>
    </xf>
    <xf numFmtId="0" fontId="1" fillId="0" borderId="4" xfId="0" applyFont="1" applyBorder="1" applyProtection="1">
      <protection locked="0"/>
    </xf>
    <xf numFmtId="0" fontId="8" fillId="2" borderId="0" xfId="0" applyFont="1" applyFill="1" applyAlignment="1" applyProtection="1">
      <alignment wrapText="1"/>
      <protection locked="0"/>
    </xf>
    <xf numFmtId="0" fontId="8" fillId="2" borderId="0" xfId="0" applyFont="1" applyFill="1" applyAlignment="1" applyProtection="1">
      <alignment vertical="center" wrapText="1"/>
      <protection locked="0"/>
    </xf>
    <xf numFmtId="0" fontId="1" fillId="0" borderId="6" xfId="0" applyFont="1" applyBorder="1" applyProtection="1">
      <protection locked="0"/>
    </xf>
    <xf numFmtId="0" fontId="4" fillId="4" borderId="0" xfId="0" applyFont="1" applyFill="1" applyAlignment="1" applyProtection="1">
      <alignment vertical="center"/>
      <protection locked="0"/>
    </xf>
    <xf numFmtId="0" fontId="9" fillId="6" borderId="15" xfId="0" applyFont="1" applyFill="1" applyBorder="1" applyAlignment="1" applyProtection="1">
      <alignment wrapText="1"/>
      <protection locked="0"/>
    </xf>
    <xf numFmtId="0" fontId="9" fillId="6" borderId="15" xfId="0" applyFont="1" applyFill="1" applyBorder="1" applyAlignment="1" applyProtection="1">
      <alignment vertical="center" wrapText="1"/>
      <protection locked="0"/>
    </xf>
    <xf numFmtId="0" fontId="3" fillId="2" borderId="0" xfId="0" applyFont="1" applyFill="1" applyAlignment="1" applyProtection="1">
      <alignment wrapText="1"/>
      <protection locked="0"/>
    </xf>
    <xf numFmtId="0" fontId="3" fillId="2" borderId="0" xfId="0" applyFont="1" applyFill="1" applyAlignment="1" applyProtection="1">
      <alignment vertical="center"/>
      <protection locked="0"/>
    </xf>
    <xf numFmtId="0" fontId="10" fillId="2" borderId="5" xfId="0" applyFont="1" applyFill="1" applyBorder="1" applyProtection="1">
      <protection locked="0"/>
    </xf>
    <xf numFmtId="0" fontId="11" fillId="5" borderId="2" xfId="0" applyFont="1" applyFill="1" applyBorder="1" applyAlignment="1" applyProtection="1">
      <alignment horizontal="center" vertical="center" wrapText="1"/>
      <protection locked="0"/>
    </xf>
    <xf numFmtId="0" fontId="6" fillId="2" borderId="19" xfId="0" applyFont="1" applyFill="1" applyBorder="1" applyProtection="1">
      <protection locked="0"/>
    </xf>
    <xf numFmtId="0" fontId="10" fillId="0" borderId="7" xfId="0" applyFont="1" applyBorder="1" applyProtection="1">
      <protection locked="0"/>
    </xf>
    <xf numFmtId="0" fontId="10" fillId="3" borderId="7" xfId="0" applyFont="1" applyFill="1" applyBorder="1" applyProtection="1">
      <protection locked="0"/>
    </xf>
    <xf numFmtId="0" fontId="12" fillId="7" borderId="6" xfId="0" applyFont="1" applyFill="1" applyBorder="1" applyAlignment="1" applyProtection="1">
      <alignment vertical="center"/>
      <protection locked="0"/>
    </xf>
    <xf numFmtId="0" fontId="13" fillId="7" borderId="7" xfId="0" applyFont="1" applyFill="1" applyBorder="1" applyAlignment="1" applyProtection="1">
      <alignment vertical="center" wrapText="1"/>
      <protection locked="0"/>
    </xf>
    <xf numFmtId="9" fontId="14" fillId="7" borderId="4" xfId="0" applyNumberFormat="1" applyFont="1" applyFill="1" applyBorder="1" applyAlignment="1" applyProtection="1">
      <alignment horizontal="center" vertical="center" wrapText="1"/>
      <protection locked="0"/>
    </xf>
    <xf numFmtId="0" fontId="15" fillId="8" borderId="6" xfId="0" applyFont="1" applyFill="1" applyBorder="1" applyProtection="1">
      <protection locked="0"/>
    </xf>
    <xf numFmtId="0" fontId="16" fillId="8" borderId="7" xfId="0" applyFont="1" applyFill="1" applyBorder="1" applyAlignment="1" applyProtection="1">
      <alignment vertical="center" wrapText="1"/>
      <protection locked="0"/>
    </xf>
    <xf numFmtId="0" fontId="1" fillId="8" borderId="7" xfId="0" applyFont="1" applyFill="1" applyBorder="1" applyAlignment="1" applyProtection="1">
      <alignment horizontal="center" vertical="center" wrapText="1"/>
      <protection locked="0"/>
    </xf>
    <xf numFmtId="0" fontId="6" fillId="2" borderId="11" xfId="0" applyFont="1" applyFill="1" applyBorder="1" applyProtection="1">
      <protection locked="0"/>
    </xf>
    <xf numFmtId="0" fontId="5" fillId="0" borderId="7" xfId="0" applyFont="1" applyBorder="1" applyProtection="1">
      <protection locked="0"/>
    </xf>
    <xf numFmtId="0" fontId="5" fillId="2" borderId="5" xfId="0" applyFont="1" applyFill="1" applyBorder="1" applyProtection="1">
      <protection locked="0"/>
    </xf>
    <xf numFmtId="0" fontId="14" fillId="8" borderId="7" xfId="0" applyFont="1" applyFill="1" applyBorder="1" applyAlignment="1" applyProtection="1">
      <alignment wrapText="1"/>
      <protection locked="0"/>
    </xf>
    <xf numFmtId="0" fontId="12" fillId="7" borderId="6" xfId="0" applyFont="1" applyFill="1" applyBorder="1" applyAlignment="1" applyProtection="1">
      <alignment vertical="center" wrapText="1"/>
      <protection locked="0"/>
    </xf>
    <xf numFmtId="0" fontId="13" fillId="7" borderId="7" xfId="0" applyFont="1" applyFill="1" applyBorder="1" applyAlignment="1" applyProtection="1">
      <alignment horizontal="left" vertical="center" wrapText="1"/>
      <protection locked="0"/>
    </xf>
    <xf numFmtId="9" fontId="14" fillId="7" borderId="7" xfId="0" applyNumberFormat="1" applyFont="1" applyFill="1" applyBorder="1" applyAlignment="1" applyProtection="1">
      <alignment horizontal="center" vertical="center" wrapText="1"/>
      <protection locked="0"/>
    </xf>
    <xf numFmtId="0" fontId="15" fillId="8" borderId="6" xfId="0" applyFont="1" applyFill="1" applyBorder="1" applyAlignment="1" applyProtection="1">
      <alignment wrapText="1"/>
      <protection locked="0"/>
    </xf>
    <xf numFmtId="0" fontId="16" fillId="8" borderId="7" xfId="0" applyFont="1" applyFill="1" applyBorder="1" applyAlignment="1" applyProtection="1">
      <alignment horizontal="left" vertical="center" wrapText="1"/>
      <protection locked="0"/>
    </xf>
    <xf numFmtId="0" fontId="19" fillId="8" borderId="7" xfId="0" applyFont="1" applyFill="1" applyBorder="1" applyAlignment="1" applyProtection="1">
      <alignment horizontal="left" vertical="center" wrapText="1"/>
      <protection locked="0"/>
    </xf>
    <xf numFmtId="0" fontId="19" fillId="3" borderId="7" xfId="0" applyFont="1" applyFill="1" applyBorder="1" applyProtection="1">
      <protection locked="0"/>
    </xf>
    <xf numFmtId="0" fontId="1" fillId="4" borderId="7" xfId="0" applyFont="1" applyFill="1" applyBorder="1" applyProtection="1">
      <protection locked="0"/>
    </xf>
    <xf numFmtId="0" fontId="1" fillId="2" borderId="0" xfId="0" applyFont="1" applyFill="1" applyProtection="1">
      <protection locked="0"/>
    </xf>
    <xf numFmtId="0" fontId="1" fillId="2" borderId="0" xfId="0" applyFont="1" applyFill="1" applyAlignment="1" applyProtection="1">
      <alignment wrapText="1"/>
      <protection locked="0"/>
    </xf>
    <xf numFmtId="0" fontId="21" fillId="7" borderId="6" xfId="0" applyFont="1" applyFill="1" applyBorder="1" applyAlignment="1" applyProtection="1">
      <alignment horizontal="center" vertical="center" wrapText="1"/>
      <protection locked="0"/>
    </xf>
    <xf numFmtId="0" fontId="1" fillId="2" borderId="0" xfId="0" applyFont="1" applyFill="1" applyAlignment="1" applyProtection="1">
      <alignment vertical="center"/>
      <protection locked="0"/>
    </xf>
    <xf numFmtId="0" fontId="1" fillId="2" borderId="22" xfId="0" applyFont="1" applyFill="1" applyBorder="1" applyProtection="1">
      <protection locked="0"/>
    </xf>
    <xf numFmtId="0" fontId="1" fillId="2" borderId="15" xfId="0" applyFont="1" applyFill="1" applyBorder="1" applyProtection="1">
      <protection locked="0"/>
    </xf>
    <xf numFmtId="0" fontId="1" fillId="2" borderId="15" xfId="0" applyFont="1" applyFill="1" applyBorder="1" applyAlignment="1" applyProtection="1">
      <alignment wrapText="1"/>
      <protection locked="0"/>
    </xf>
    <xf numFmtId="0" fontId="1" fillId="2" borderId="15" xfId="0" applyFont="1" applyFill="1" applyBorder="1" applyAlignment="1" applyProtection="1">
      <alignment vertical="center"/>
      <protection locked="0"/>
    </xf>
    <xf numFmtId="0" fontId="26" fillId="2" borderId="15" xfId="0" applyFont="1" applyFill="1" applyBorder="1" applyProtection="1">
      <protection locked="0"/>
    </xf>
    <xf numFmtId="0" fontId="1" fillId="3" borderId="7" xfId="0" applyFont="1" applyFill="1" applyBorder="1" applyAlignment="1" applyProtection="1">
      <alignment wrapText="1"/>
      <protection locked="0"/>
    </xf>
    <xf numFmtId="0" fontId="1" fillId="3" borderId="7" xfId="0" applyFont="1" applyFill="1" applyBorder="1" applyAlignment="1" applyProtection="1">
      <alignment vertical="center"/>
      <protection locked="0"/>
    </xf>
    <xf numFmtId="0" fontId="3" fillId="3" borderId="23" xfId="0" applyFont="1" applyFill="1" applyBorder="1" applyProtection="1">
      <protection locked="0"/>
    </xf>
    <xf numFmtId="0" fontId="14" fillId="9" borderId="3" xfId="0" applyFont="1" applyFill="1" applyBorder="1" applyAlignment="1" applyProtection="1">
      <alignment horizontal="center" vertical="center" wrapText="1"/>
    </xf>
    <xf numFmtId="0" fontId="23" fillId="7" borderId="7" xfId="0" applyFont="1" applyFill="1" applyBorder="1" applyAlignment="1" applyProtection="1">
      <alignment horizontal="center" vertical="center"/>
    </xf>
    <xf numFmtId="0" fontId="25" fillId="10" borderId="21" xfId="0" applyFont="1" applyFill="1" applyBorder="1" applyAlignment="1" applyProtection="1">
      <alignment wrapText="1"/>
      <protection locked="0"/>
    </xf>
    <xf numFmtId="0" fontId="25" fillId="10" borderId="20" xfId="0" applyFont="1" applyFill="1" applyBorder="1" applyAlignment="1" applyProtection="1">
      <alignment wrapText="1"/>
      <protection locked="0"/>
    </xf>
    <xf numFmtId="0" fontId="25" fillId="10" borderId="4" xfId="0" applyFont="1" applyFill="1" applyBorder="1" applyAlignment="1" applyProtection="1">
      <alignment wrapText="1"/>
      <protection locked="0"/>
    </xf>
    <xf numFmtId="0" fontId="19" fillId="8" borderId="20" xfId="0" applyFont="1" applyFill="1" applyBorder="1" applyAlignment="1" applyProtection="1">
      <alignment horizontal="left" vertical="center" wrapText="1"/>
      <protection locked="0"/>
    </xf>
    <xf numFmtId="0" fontId="19" fillId="8" borderId="4" xfId="0" applyFont="1" applyFill="1" applyBorder="1" applyAlignment="1" applyProtection="1">
      <alignment horizontal="left" vertical="center" wrapText="1"/>
      <protection locked="0"/>
    </xf>
    <xf numFmtId="0" fontId="16" fillId="8" borderId="21" xfId="0" applyFont="1" applyFill="1" applyBorder="1" applyAlignment="1" applyProtection="1">
      <alignment wrapText="1"/>
      <protection locked="0"/>
    </xf>
    <xf numFmtId="0" fontId="16" fillId="8" borderId="20" xfId="0" applyFont="1" applyFill="1" applyBorder="1" applyAlignment="1" applyProtection="1">
      <alignment wrapText="1"/>
      <protection locked="0"/>
    </xf>
    <xf numFmtId="0" fontId="16" fillId="8" borderId="4" xfId="0" applyFont="1" applyFill="1" applyBorder="1" applyAlignment="1" applyProtection="1">
      <alignment wrapText="1"/>
      <protection locked="0"/>
    </xf>
    <xf numFmtId="0" fontId="16" fillId="10" borderId="21" xfId="0" applyFont="1" applyFill="1" applyBorder="1" applyAlignment="1" applyProtection="1">
      <alignment wrapText="1"/>
      <protection locked="0"/>
    </xf>
    <xf numFmtId="0" fontId="16" fillId="10" borderId="20" xfId="0" applyFont="1" applyFill="1" applyBorder="1" applyAlignment="1" applyProtection="1">
      <alignment wrapText="1"/>
      <protection locked="0"/>
    </xf>
    <xf numFmtId="0" fontId="16" fillId="10" borderId="4" xfId="0" applyFont="1" applyFill="1" applyBorder="1" applyAlignment="1" applyProtection="1">
      <alignment wrapText="1"/>
      <protection locked="0"/>
    </xf>
    <xf numFmtId="0" fontId="20" fillId="2" borderId="21" xfId="0" applyFont="1" applyFill="1" applyBorder="1" applyAlignment="1" applyProtection="1">
      <alignment wrapText="1"/>
      <protection locked="0"/>
    </xf>
    <xf numFmtId="0" fontId="20" fillId="2" borderId="20" xfId="0" applyFont="1" applyFill="1" applyBorder="1" applyAlignment="1" applyProtection="1">
      <alignment wrapText="1"/>
      <protection locked="0"/>
    </xf>
    <xf numFmtId="0" fontId="20" fillId="2" borderId="4" xfId="0" applyFont="1" applyFill="1" applyBorder="1" applyAlignment="1" applyProtection="1">
      <alignment wrapText="1"/>
      <protection locked="0"/>
    </xf>
    <xf numFmtId="0" fontId="1" fillId="2" borderId="0" xfId="0" applyFont="1" applyFill="1" applyProtection="1">
      <protection locked="0"/>
    </xf>
    <xf numFmtId="0" fontId="24" fillId="5" borderId="21" xfId="0" applyFont="1" applyFill="1" applyBorder="1" applyProtection="1">
      <protection locked="0"/>
    </xf>
    <xf numFmtId="0" fontId="24" fillId="5" borderId="20" xfId="0" applyFont="1" applyFill="1" applyBorder="1" applyProtection="1">
      <protection locked="0"/>
    </xf>
    <xf numFmtId="0" fontId="24" fillId="5" borderId="4" xfId="0" applyFont="1" applyFill="1" applyBorder="1" applyProtection="1">
      <protection locked="0"/>
    </xf>
    <xf numFmtId="0" fontId="18" fillId="2" borderId="21" xfId="0" applyFont="1" applyFill="1" applyBorder="1" applyAlignment="1" applyProtection="1">
      <alignment wrapText="1"/>
      <protection locked="0"/>
    </xf>
    <xf numFmtId="0" fontId="18" fillId="2" borderId="20" xfId="0" applyFont="1" applyFill="1" applyBorder="1" applyAlignment="1" applyProtection="1">
      <alignment wrapText="1"/>
      <protection locked="0"/>
    </xf>
    <xf numFmtId="0" fontId="18" fillId="2" borderId="4" xfId="0" applyFont="1" applyFill="1" applyBorder="1" applyAlignment="1" applyProtection="1">
      <alignment wrapText="1"/>
      <protection locked="0"/>
    </xf>
    <xf numFmtId="0" fontId="13" fillId="7" borderId="20" xfId="0" applyFont="1" applyFill="1" applyBorder="1" applyAlignment="1" applyProtection="1">
      <alignment horizontal="left" vertical="center" wrapText="1"/>
      <protection locked="0"/>
    </xf>
    <xf numFmtId="0" fontId="13" fillId="7" borderId="4" xfId="0" applyFont="1" applyFill="1" applyBorder="1" applyAlignment="1" applyProtection="1">
      <alignment horizontal="left" vertical="center" wrapText="1"/>
      <protection locked="0"/>
    </xf>
    <xf numFmtId="0" fontId="16" fillId="8" borderId="20" xfId="0" applyFont="1" applyFill="1" applyBorder="1" applyAlignment="1" applyProtection="1">
      <alignment horizontal="left" vertical="center" wrapText="1"/>
      <protection locked="0"/>
    </xf>
    <xf numFmtId="0" fontId="16" fillId="8" borderId="4" xfId="0" applyFont="1" applyFill="1" applyBorder="1" applyAlignment="1" applyProtection="1">
      <alignment horizontal="left" vertical="center" wrapText="1"/>
      <protection locked="0"/>
    </xf>
    <xf numFmtId="0" fontId="17" fillId="8" borderId="21" xfId="0" applyFont="1" applyFill="1" applyBorder="1" applyAlignment="1" applyProtection="1">
      <alignment wrapText="1"/>
      <protection locked="0"/>
    </xf>
    <xf numFmtId="0" fontId="17" fillId="8" borderId="20" xfId="0" applyFont="1" applyFill="1" applyBorder="1" applyAlignment="1" applyProtection="1">
      <alignment wrapText="1"/>
      <protection locked="0"/>
    </xf>
    <xf numFmtId="0" fontId="17" fillId="8" borderId="4" xfId="0" applyFont="1" applyFill="1" applyBorder="1" applyAlignment="1" applyProtection="1">
      <alignment wrapText="1"/>
      <protection locked="0"/>
    </xf>
    <xf numFmtId="0" fontId="11" fillId="5" borderId="16" xfId="0" applyFont="1" applyFill="1" applyBorder="1" applyAlignment="1" applyProtection="1">
      <alignment wrapText="1"/>
      <protection locked="0"/>
    </xf>
    <xf numFmtId="0" fontId="11" fillId="5" borderId="17" xfId="0" applyFont="1" applyFill="1" applyBorder="1" applyAlignment="1" applyProtection="1">
      <alignment wrapText="1"/>
      <protection locked="0"/>
    </xf>
    <xf numFmtId="0" fontId="11" fillId="5" borderId="16" xfId="0" applyFont="1" applyFill="1" applyBorder="1" applyAlignment="1" applyProtection="1">
      <alignment horizontal="center" vertical="center" wrapText="1"/>
      <protection locked="0"/>
    </xf>
    <xf numFmtId="0" fontId="11" fillId="5" borderId="18" xfId="0" applyFont="1" applyFill="1" applyBorder="1" applyAlignment="1" applyProtection="1">
      <alignment horizontal="center" vertical="center" wrapText="1"/>
      <protection locked="0"/>
    </xf>
    <xf numFmtId="0" fontId="11" fillId="5" borderId="17" xfId="0" applyFont="1" applyFill="1" applyBorder="1" applyAlignment="1" applyProtection="1">
      <alignment horizontal="center" vertical="center" wrapText="1"/>
      <protection locked="0"/>
    </xf>
    <xf numFmtId="0" fontId="13" fillId="7" borderId="20" xfId="0" applyFont="1" applyFill="1" applyBorder="1" applyAlignment="1" applyProtection="1">
      <alignment vertical="center" wrapText="1"/>
      <protection locked="0"/>
    </xf>
    <xf numFmtId="0" fontId="13" fillId="7" borderId="4" xfId="0" applyFont="1" applyFill="1" applyBorder="1" applyAlignment="1" applyProtection="1">
      <alignment vertical="center" wrapText="1"/>
      <protection locked="0"/>
    </xf>
    <xf numFmtId="0" fontId="16" fillId="8" borderId="20" xfId="0" applyFont="1" applyFill="1" applyBorder="1" applyAlignment="1" applyProtection="1">
      <alignment vertical="center" wrapText="1"/>
      <protection locked="0"/>
    </xf>
    <xf numFmtId="0" fontId="16" fillId="8" borderId="4" xfId="0" applyFont="1" applyFill="1" applyBorder="1" applyAlignment="1" applyProtection="1">
      <alignment vertical="center" wrapText="1"/>
      <protection locked="0"/>
    </xf>
    <xf numFmtId="0" fontId="7" fillId="5" borderId="12" xfId="0" applyFont="1" applyFill="1" applyBorder="1" applyAlignment="1" applyProtection="1">
      <alignment wrapText="1"/>
      <protection locked="0"/>
    </xf>
    <xf numFmtId="0" fontId="7" fillId="5" borderId="14" xfId="0" applyFont="1" applyFill="1" applyBorder="1" applyAlignment="1" applyProtection="1">
      <alignment wrapText="1"/>
      <protection locked="0"/>
    </xf>
    <xf numFmtId="0" fontId="9" fillId="6" borderId="13"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2" fillId="2" borderId="0" xfId="0" applyFont="1" applyFill="1" applyAlignment="1" applyProtection="1">
      <alignment horizontal="center" wrapText="1"/>
      <protection locked="0"/>
    </xf>
    <xf numFmtId="0" fontId="1" fillId="0" borderId="8" xfId="0" applyFont="1" applyBorder="1" applyProtection="1">
      <protection locked="0"/>
    </xf>
    <xf numFmtId="0" fontId="1" fillId="0" borderId="9" xfId="0" applyFont="1" applyBorder="1" applyProtection="1">
      <protection locked="0"/>
    </xf>
    <xf numFmtId="0" fontId="1" fillId="0" borderId="10" xfId="0" applyFont="1" applyBorder="1" applyProtection="1">
      <protection locked="0"/>
    </xf>
    <xf numFmtId="0" fontId="1" fillId="0" borderId="11" xfId="0" applyFont="1" applyBorder="1" applyProtection="1">
      <protection locked="0"/>
    </xf>
    <xf numFmtId="0" fontId="7" fillId="5" borderId="13" xfId="0" applyFont="1" applyFill="1" applyBorder="1" applyAlignment="1" applyProtection="1">
      <alignment wrapText="1"/>
      <protection locked="0"/>
    </xf>
    <xf numFmtId="14" fontId="9" fillId="6" borderId="13" xfId="0" applyNumberFormat="1" applyFont="1" applyFill="1" applyBorder="1" applyAlignment="1" applyProtection="1">
      <alignment wrapText="1"/>
      <protection locked="0"/>
    </xf>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4"/>
  <sheetViews>
    <sheetView tabSelected="1" topLeftCell="A40" zoomScale="85" zoomScaleNormal="85" workbookViewId="0">
      <selection activeCell="H55" sqref="H55"/>
    </sheetView>
  </sheetViews>
  <sheetFormatPr defaultColWidth="9.109375" defaultRowHeight="15"/>
  <cols>
    <col min="1" max="2" width="9.109375" style="5"/>
    <col min="3" max="7" width="37.33203125" style="5" customWidth="1"/>
    <col min="8" max="8" width="37.33203125" style="24" customWidth="1"/>
    <col min="9" max="16384" width="9.109375" style="5"/>
  </cols>
  <sheetData>
    <row r="1" spans="1:18" ht="51" customHeight="1">
      <c r="A1" s="1" t="s">
        <v>0</v>
      </c>
      <c r="B1" s="106" t="s">
        <v>1</v>
      </c>
      <c r="C1" s="106"/>
      <c r="D1" s="106"/>
      <c r="E1" s="106"/>
      <c r="F1" s="106"/>
      <c r="G1" s="106"/>
      <c r="H1" s="106"/>
      <c r="I1" s="2" t="s">
        <v>0</v>
      </c>
      <c r="J1" s="3" t="s">
        <v>0</v>
      </c>
      <c r="K1" s="4" t="s">
        <v>0</v>
      </c>
      <c r="L1" s="4" t="s">
        <v>0</v>
      </c>
      <c r="M1" s="4" t="s">
        <v>0</v>
      </c>
      <c r="N1" s="4" t="s">
        <v>0</v>
      </c>
      <c r="O1" s="4" t="s">
        <v>0</v>
      </c>
      <c r="P1" s="4" t="s">
        <v>0</v>
      </c>
      <c r="Q1" s="4" t="s">
        <v>0</v>
      </c>
      <c r="R1" s="4" t="s">
        <v>0</v>
      </c>
    </row>
    <row r="2" spans="1:18" ht="31.5" customHeight="1">
      <c r="A2" s="6" t="s">
        <v>0</v>
      </c>
      <c r="B2" s="107" t="s">
        <v>2</v>
      </c>
      <c r="C2" s="107"/>
      <c r="D2" s="107"/>
      <c r="E2" s="107"/>
      <c r="F2" s="107"/>
      <c r="G2" s="107"/>
      <c r="H2" s="107"/>
      <c r="I2" s="7" t="s">
        <v>0</v>
      </c>
      <c r="J2" s="8" t="s">
        <v>0</v>
      </c>
      <c r="K2" s="9" t="s">
        <v>0</v>
      </c>
      <c r="L2" s="9" t="s">
        <v>0</v>
      </c>
      <c r="M2" s="9" t="s">
        <v>0</v>
      </c>
      <c r="N2" s="9" t="s">
        <v>0</v>
      </c>
      <c r="O2" s="9" t="s">
        <v>0</v>
      </c>
      <c r="P2" s="9" t="s">
        <v>0</v>
      </c>
      <c r="Q2" s="9" t="s">
        <v>0</v>
      </c>
      <c r="R2" s="10" t="s">
        <v>0</v>
      </c>
    </row>
    <row r="3" spans="1:18" ht="31.5" customHeight="1">
      <c r="A3" s="6" t="s">
        <v>0</v>
      </c>
      <c r="B3" s="107" t="s">
        <v>3</v>
      </c>
      <c r="C3" s="107"/>
      <c r="D3" s="107"/>
      <c r="E3" s="107"/>
      <c r="F3" s="107"/>
      <c r="G3" s="107"/>
      <c r="H3" s="107"/>
      <c r="I3" s="7" t="s">
        <v>0</v>
      </c>
      <c r="J3" s="8" t="s">
        <v>0</v>
      </c>
      <c r="K3" s="9" t="s">
        <v>0</v>
      </c>
      <c r="L3" s="9" t="s">
        <v>0</v>
      </c>
      <c r="M3" s="108" t="s">
        <v>0</v>
      </c>
      <c r="N3" s="109"/>
      <c r="O3" s="9" t="s">
        <v>0</v>
      </c>
      <c r="P3" s="9" t="s">
        <v>0</v>
      </c>
      <c r="Q3" s="9" t="s">
        <v>0</v>
      </c>
      <c r="R3" s="10" t="s">
        <v>0</v>
      </c>
    </row>
    <row r="4" spans="1:18" ht="31.5" customHeight="1">
      <c r="A4" s="6" t="s">
        <v>0</v>
      </c>
      <c r="B4" s="107" t="s">
        <v>4</v>
      </c>
      <c r="C4" s="107"/>
      <c r="D4" s="107"/>
      <c r="E4" s="107"/>
      <c r="F4" s="107"/>
      <c r="G4" s="107"/>
      <c r="H4" s="107"/>
      <c r="I4" s="7" t="s">
        <v>0</v>
      </c>
      <c r="J4" s="8" t="s">
        <v>0</v>
      </c>
      <c r="K4" s="9" t="s">
        <v>0</v>
      </c>
      <c r="L4" s="9" t="s">
        <v>0</v>
      </c>
      <c r="M4" s="110"/>
      <c r="N4" s="111"/>
      <c r="O4" s="9" t="s">
        <v>0</v>
      </c>
      <c r="P4" s="9" t="s">
        <v>0</v>
      </c>
      <c r="Q4" s="9" t="s">
        <v>0</v>
      </c>
      <c r="R4" s="10" t="s">
        <v>0</v>
      </c>
    </row>
    <row r="5" spans="1:18" ht="15.75">
      <c r="A5" s="6" t="s">
        <v>0</v>
      </c>
      <c r="B5" s="11" t="s">
        <v>0</v>
      </c>
      <c r="C5" s="12" t="s">
        <v>0</v>
      </c>
      <c r="D5" s="12" t="s">
        <v>0</v>
      </c>
      <c r="E5" s="11" t="s">
        <v>0</v>
      </c>
      <c r="F5" s="11" t="s">
        <v>0</v>
      </c>
      <c r="G5" s="11" t="s">
        <v>0</v>
      </c>
      <c r="H5" s="13" t="s">
        <v>0</v>
      </c>
      <c r="I5" s="14" t="s">
        <v>0</v>
      </c>
      <c r="J5" s="15" t="s">
        <v>0</v>
      </c>
      <c r="K5" s="9" t="s">
        <v>0</v>
      </c>
      <c r="L5" s="9" t="s">
        <v>0</v>
      </c>
      <c r="M5" s="110"/>
      <c r="N5" s="111"/>
      <c r="O5" s="9" t="s">
        <v>0</v>
      </c>
      <c r="P5" s="9" t="s">
        <v>0</v>
      </c>
      <c r="Q5" s="9" t="s">
        <v>0</v>
      </c>
      <c r="R5" s="10" t="s">
        <v>0</v>
      </c>
    </row>
    <row r="6" spans="1:18" ht="15" customHeight="1">
      <c r="A6" s="6" t="s">
        <v>0</v>
      </c>
      <c r="B6" s="16" t="s">
        <v>0</v>
      </c>
      <c r="C6" s="16" t="s">
        <v>0</v>
      </c>
      <c r="D6" s="16" t="s">
        <v>0</v>
      </c>
      <c r="E6" s="16" t="s">
        <v>0</v>
      </c>
      <c r="F6" s="16" t="s">
        <v>0</v>
      </c>
      <c r="G6" s="16" t="s">
        <v>0</v>
      </c>
      <c r="H6" s="17" t="s">
        <v>0</v>
      </c>
      <c r="I6" s="7" t="s">
        <v>0</v>
      </c>
      <c r="J6" s="15" t="s">
        <v>0</v>
      </c>
      <c r="K6" s="9" t="s">
        <v>0</v>
      </c>
      <c r="L6" s="9" t="s">
        <v>0</v>
      </c>
      <c r="M6" s="110"/>
      <c r="N6" s="111"/>
      <c r="O6" s="9" t="s">
        <v>0</v>
      </c>
      <c r="P6" s="9" t="s">
        <v>0</v>
      </c>
      <c r="Q6" s="9" t="s">
        <v>0</v>
      </c>
      <c r="R6" s="10" t="s">
        <v>0</v>
      </c>
    </row>
    <row r="7" spans="1:18" ht="28.5" customHeight="1">
      <c r="A7" s="6" t="s">
        <v>0</v>
      </c>
      <c r="B7" s="16" t="s">
        <v>0</v>
      </c>
      <c r="C7" s="18" t="s">
        <v>5</v>
      </c>
      <c r="D7" s="16"/>
      <c r="E7" s="18"/>
      <c r="F7" s="16" t="s">
        <v>0</v>
      </c>
      <c r="G7" s="16" t="s">
        <v>0</v>
      </c>
      <c r="H7" s="17" t="s">
        <v>0</v>
      </c>
      <c r="I7" s="7" t="s">
        <v>0</v>
      </c>
      <c r="J7" s="15" t="s">
        <v>0</v>
      </c>
      <c r="K7" s="9" t="s">
        <v>0</v>
      </c>
      <c r="L7" s="9" t="s">
        <v>0</v>
      </c>
      <c r="M7" s="110"/>
      <c r="N7" s="111"/>
      <c r="O7" s="9" t="s">
        <v>0</v>
      </c>
      <c r="P7" s="9" t="s">
        <v>0</v>
      </c>
      <c r="Q7" s="9" t="s">
        <v>0</v>
      </c>
      <c r="R7" s="10" t="s">
        <v>0</v>
      </c>
    </row>
    <row r="8" spans="1:18" ht="26.25" customHeight="1">
      <c r="A8" s="6" t="s">
        <v>0</v>
      </c>
      <c r="B8" s="18" t="s">
        <v>0</v>
      </c>
      <c r="C8" s="18" t="s">
        <v>6</v>
      </c>
      <c r="D8" s="16"/>
      <c r="E8" s="18"/>
      <c r="F8" s="18" t="s">
        <v>0</v>
      </c>
      <c r="G8" s="18" t="s">
        <v>0</v>
      </c>
      <c r="H8" s="19" t="s">
        <v>0</v>
      </c>
      <c r="I8" s="7" t="s">
        <v>0</v>
      </c>
      <c r="J8" s="15" t="s">
        <v>0</v>
      </c>
      <c r="K8" s="9" t="s">
        <v>0</v>
      </c>
      <c r="L8" s="9" t="s">
        <v>0</v>
      </c>
      <c r="M8" s="110"/>
      <c r="N8" s="111"/>
      <c r="O8" s="9" t="s">
        <v>0</v>
      </c>
      <c r="P8" s="9" t="s">
        <v>0</v>
      </c>
      <c r="Q8" s="9" t="s">
        <v>0</v>
      </c>
      <c r="R8" s="10" t="s">
        <v>0</v>
      </c>
    </row>
    <row r="9" spans="1:18" ht="27" customHeight="1">
      <c r="A9" s="6" t="s">
        <v>0</v>
      </c>
      <c r="B9" s="16" t="s">
        <v>0</v>
      </c>
      <c r="C9" s="16" t="s">
        <v>7</v>
      </c>
      <c r="D9" s="18" t="s">
        <v>8</v>
      </c>
      <c r="E9" s="18"/>
      <c r="F9" s="18"/>
      <c r="G9" s="16" t="s">
        <v>0</v>
      </c>
      <c r="H9" s="17" t="s">
        <v>0</v>
      </c>
      <c r="I9" s="7" t="s">
        <v>0</v>
      </c>
      <c r="J9" s="15" t="s">
        <v>0</v>
      </c>
      <c r="K9" s="9" t="s">
        <v>0</v>
      </c>
      <c r="L9" s="9" t="s">
        <v>0</v>
      </c>
      <c r="M9" s="110"/>
      <c r="N9" s="111"/>
      <c r="O9" s="9" t="s">
        <v>0</v>
      </c>
      <c r="P9" s="9" t="s">
        <v>0</v>
      </c>
      <c r="Q9" s="9" t="s">
        <v>0</v>
      </c>
      <c r="R9" s="10" t="s">
        <v>0</v>
      </c>
    </row>
    <row r="10" spans="1:18" ht="15" customHeight="1">
      <c r="A10" s="6" t="s">
        <v>0</v>
      </c>
      <c r="B10" s="16" t="s">
        <v>0</v>
      </c>
      <c r="C10" s="16" t="s">
        <v>9</v>
      </c>
      <c r="D10" s="18" t="s">
        <v>10</v>
      </c>
      <c r="E10" s="18"/>
      <c r="F10" s="18"/>
      <c r="G10" s="16" t="s">
        <v>0</v>
      </c>
      <c r="H10" s="17" t="s">
        <v>0</v>
      </c>
      <c r="I10" s="7" t="s">
        <v>0</v>
      </c>
      <c r="J10" s="15" t="s">
        <v>0</v>
      </c>
      <c r="K10" s="9" t="s">
        <v>0</v>
      </c>
      <c r="L10" s="9" t="s">
        <v>0</v>
      </c>
      <c r="M10" s="110"/>
      <c r="N10" s="111"/>
      <c r="O10" s="9" t="s">
        <v>0</v>
      </c>
      <c r="P10" s="9" t="s">
        <v>0</v>
      </c>
      <c r="Q10" s="9" t="s">
        <v>0</v>
      </c>
      <c r="R10" s="10" t="s">
        <v>0</v>
      </c>
    </row>
    <row r="11" spans="1:18" ht="15" customHeight="1">
      <c r="A11" s="6" t="s">
        <v>0</v>
      </c>
      <c r="B11" s="16" t="s">
        <v>0</v>
      </c>
      <c r="C11" s="16" t="s">
        <v>11</v>
      </c>
      <c r="D11" s="18" t="s">
        <v>12</v>
      </c>
      <c r="E11" s="18"/>
      <c r="F11" s="18"/>
      <c r="G11" s="16" t="s">
        <v>0</v>
      </c>
      <c r="H11" s="17" t="s">
        <v>0</v>
      </c>
      <c r="I11" s="7" t="s">
        <v>0</v>
      </c>
      <c r="J11" s="15" t="s">
        <v>0</v>
      </c>
      <c r="K11" s="9" t="s">
        <v>0</v>
      </c>
      <c r="L11" s="9" t="s">
        <v>0</v>
      </c>
      <c r="M11" s="110"/>
      <c r="N11" s="111"/>
      <c r="O11" s="9" t="s">
        <v>0</v>
      </c>
      <c r="P11" s="9" t="s">
        <v>0</v>
      </c>
      <c r="Q11" s="9" t="s">
        <v>0</v>
      </c>
      <c r="R11" s="10" t="s">
        <v>0</v>
      </c>
    </row>
    <row r="12" spans="1:18" ht="15" customHeight="1">
      <c r="A12" s="6" t="s">
        <v>0</v>
      </c>
      <c r="B12" s="16" t="s">
        <v>0</v>
      </c>
      <c r="C12" s="16" t="s">
        <v>13</v>
      </c>
      <c r="D12" s="18" t="s">
        <v>14</v>
      </c>
      <c r="E12" s="18"/>
      <c r="F12" s="18"/>
      <c r="G12" s="16" t="s">
        <v>0</v>
      </c>
      <c r="H12" s="17" t="s">
        <v>0</v>
      </c>
      <c r="I12" s="7" t="s">
        <v>0</v>
      </c>
      <c r="J12" s="15" t="s">
        <v>0</v>
      </c>
      <c r="K12" s="9" t="s">
        <v>0</v>
      </c>
      <c r="L12" s="9" t="s">
        <v>0</v>
      </c>
      <c r="M12" s="110"/>
      <c r="N12" s="111"/>
      <c r="O12" s="9" t="s">
        <v>0</v>
      </c>
      <c r="P12" s="9" t="s">
        <v>0</v>
      </c>
      <c r="Q12" s="9" t="s">
        <v>0</v>
      </c>
      <c r="R12" s="10" t="s">
        <v>0</v>
      </c>
    </row>
    <row r="13" spans="1:18" ht="15" customHeight="1">
      <c r="A13" s="6" t="s">
        <v>0</v>
      </c>
      <c r="B13" s="16" t="s">
        <v>0</v>
      </c>
      <c r="C13" s="16" t="s">
        <v>0</v>
      </c>
      <c r="D13" s="16" t="s">
        <v>0</v>
      </c>
      <c r="E13" s="16" t="s">
        <v>0</v>
      </c>
      <c r="F13" s="16" t="s">
        <v>0</v>
      </c>
      <c r="G13" s="16" t="s">
        <v>0</v>
      </c>
      <c r="H13" s="17" t="s">
        <v>0</v>
      </c>
      <c r="I13" s="7" t="s">
        <v>0</v>
      </c>
      <c r="J13" s="15" t="s">
        <v>0</v>
      </c>
      <c r="K13" s="9" t="s">
        <v>0</v>
      </c>
      <c r="L13" s="9" t="s">
        <v>0</v>
      </c>
      <c r="M13" s="110"/>
      <c r="N13" s="111"/>
      <c r="O13" s="9" t="s">
        <v>0</v>
      </c>
      <c r="P13" s="9" t="s">
        <v>0</v>
      </c>
      <c r="Q13" s="9" t="s">
        <v>0</v>
      </c>
      <c r="R13" s="10" t="s">
        <v>0</v>
      </c>
    </row>
    <row r="14" spans="1:18" ht="15.75">
      <c r="A14" s="6" t="s">
        <v>0</v>
      </c>
      <c r="B14" s="11" t="s">
        <v>0</v>
      </c>
      <c r="C14" s="12" t="s">
        <v>0</v>
      </c>
      <c r="D14" s="12" t="s">
        <v>0</v>
      </c>
      <c r="E14" s="11" t="s">
        <v>0</v>
      </c>
      <c r="F14" s="11" t="s">
        <v>0</v>
      </c>
      <c r="G14" s="11" t="s">
        <v>0</v>
      </c>
      <c r="H14" s="13" t="s">
        <v>0</v>
      </c>
      <c r="I14" s="14" t="s">
        <v>0</v>
      </c>
      <c r="J14" s="15" t="s">
        <v>0</v>
      </c>
      <c r="K14" s="9" t="s">
        <v>0</v>
      </c>
      <c r="L14" s="9" t="s">
        <v>0</v>
      </c>
      <c r="M14" s="20" t="s">
        <v>0</v>
      </c>
      <c r="N14" s="20" t="s">
        <v>0</v>
      </c>
      <c r="O14" s="9" t="s">
        <v>0</v>
      </c>
      <c r="P14" s="9" t="s">
        <v>0</v>
      </c>
      <c r="Q14" s="9" t="s">
        <v>0</v>
      </c>
      <c r="R14" s="10" t="s">
        <v>0</v>
      </c>
    </row>
    <row r="15" spans="1:18" ht="56.25" customHeight="1" thickBot="1">
      <c r="A15" s="6" t="s">
        <v>0</v>
      </c>
      <c r="B15" s="21" t="s">
        <v>0</v>
      </c>
      <c r="C15" s="21" t="s">
        <v>0</v>
      </c>
      <c r="D15" s="21" t="s">
        <v>0</v>
      </c>
      <c r="E15" s="21" t="s">
        <v>0</v>
      </c>
      <c r="F15" s="21" t="s">
        <v>0</v>
      </c>
      <c r="G15" s="21" t="s">
        <v>0</v>
      </c>
      <c r="H15" s="22" t="s">
        <v>0</v>
      </c>
      <c r="I15" s="7" t="s">
        <v>0</v>
      </c>
      <c r="J15" s="23" t="s">
        <v>0</v>
      </c>
      <c r="K15" s="9" t="s">
        <v>0</v>
      </c>
      <c r="L15" s="9" t="s">
        <v>0</v>
      </c>
      <c r="M15" s="9" t="s">
        <v>0</v>
      </c>
      <c r="N15" s="9" t="s">
        <v>0</v>
      </c>
      <c r="O15" s="9" t="s">
        <v>0</v>
      </c>
      <c r="P15" s="9" t="s">
        <v>0</v>
      </c>
      <c r="Q15" s="9" t="s">
        <v>0</v>
      </c>
      <c r="R15" s="9" t="s">
        <v>0</v>
      </c>
    </row>
    <row r="16" spans="1:18" ht="26.25" customHeight="1" thickBot="1">
      <c r="A16" s="6" t="s">
        <v>0</v>
      </c>
      <c r="B16" s="103" t="s">
        <v>15</v>
      </c>
      <c r="C16" s="112"/>
      <c r="D16" s="112"/>
      <c r="E16" s="112"/>
      <c r="F16" s="112"/>
      <c r="G16" s="112"/>
      <c r="H16" s="112"/>
      <c r="I16" s="7" t="s">
        <v>0</v>
      </c>
      <c r="J16" s="23" t="s">
        <v>0</v>
      </c>
      <c r="K16" s="9" t="s">
        <v>0</v>
      </c>
      <c r="L16" s="9" t="s">
        <v>0</v>
      </c>
      <c r="M16" s="9" t="s">
        <v>0</v>
      </c>
      <c r="N16" s="9" t="s">
        <v>0</v>
      </c>
      <c r="O16" s="9" t="s">
        <v>0</v>
      </c>
      <c r="P16" s="9" t="s">
        <v>0</v>
      </c>
      <c r="Q16" s="9" t="s">
        <v>0</v>
      </c>
      <c r="R16" s="9" t="s">
        <v>0</v>
      </c>
    </row>
    <row r="17" spans="1:18" s="24" customFormat="1" ht="26.25" customHeight="1" thickBot="1">
      <c r="A17" s="6" t="s">
        <v>0</v>
      </c>
      <c r="B17" s="103" t="s">
        <v>16</v>
      </c>
      <c r="C17" s="104"/>
      <c r="D17" s="105" t="s">
        <v>71</v>
      </c>
      <c r="E17" s="105"/>
      <c r="F17" s="105"/>
      <c r="G17" s="105"/>
      <c r="H17" s="105"/>
      <c r="I17" s="7" t="s">
        <v>0</v>
      </c>
      <c r="J17" s="8" t="s">
        <v>0</v>
      </c>
      <c r="K17" s="10" t="s">
        <v>0</v>
      </c>
      <c r="L17" s="10" t="s">
        <v>0</v>
      </c>
      <c r="M17" s="10" t="s">
        <v>0</v>
      </c>
      <c r="N17" s="10" t="s">
        <v>0</v>
      </c>
      <c r="O17" s="10" t="s">
        <v>0</v>
      </c>
      <c r="P17" s="10" t="s">
        <v>0</v>
      </c>
      <c r="Q17" s="10" t="s">
        <v>0</v>
      </c>
      <c r="R17" s="10" t="s">
        <v>0</v>
      </c>
    </row>
    <row r="18" spans="1:18" s="24" customFormat="1" ht="26.25" customHeight="1" thickBot="1">
      <c r="A18" s="6" t="s">
        <v>0</v>
      </c>
      <c r="B18" s="103" t="s">
        <v>17</v>
      </c>
      <c r="C18" s="104"/>
      <c r="D18" s="105">
        <v>235030</v>
      </c>
      <c r="E18" s="105"/>
      <c r="F18" s="105"/>
      <c r="G18" s="105"/>
      <c r="H18" s="105"/>
      <c r="I18" s="7" t="s">
        <v>0</v>
      </c>
      <c r="J18" s="8" t="s">
        <v>0</v>
      </c>
      <c r="K18" s="10" t="s">
        <v>0</v>
      </c>
      <c r="L18" s="10" t="s">
        <v>0</v>
      </c>
      <c r="M18" s="10" t="s">
        <v>0</v>
      </c>
      <c r="N18" s="10" t="s">
        <v>0</v>
      </c>
      <c r="O18" s="10" t="s">
        <v>0</v>
      </c>
      <c r="P18" s="10" t="s">
        <v>0</v>
      </c>
      <c r="Q18" s="10" t="s">
        <v>0</v>
      </c>
      <c r="R18" s="10" t="s">
        <v>0</v>
      </c>
    </row>
    <row r="19" spans="1:18" s="24" customFormat="1" ht="26.25" customHeight="1" thickBot="1">
      <c r="A19" s="6" t="s">
        <v>0</v>
      </c>
      <c r="B19" s="103" t="s">
        <v>18</v>
      </c>
      <c r="C19" s="104"/>
      <c r="D19" s="105" t="s">
        <v>72</v>
      </c>
      <c r="E19" s="105"/>
      <c r="F19" s="105"/>
      <c r="G19" s="105"/>
      <c r="H19" s="105"/>
      <c r="I19" s="7" t="s">
        <v>0</v>
      </c>
      <c r="J19" s="8" t="s">
        <v>0</v>
      </c>
      <c r="K19" s="10" t="s">
        <v>0</v>
      </c>
      <c r="L19" s="10" t="s">
        <v>0</v>
      </c>
      <c r="M19" s="10" t="s">
        <v>0</v>
      </c>
      <c r="N19" s="10" t="s">
        <v>0</v>
      </c>
      <c r="O19" s="10" t="s">
        <v>0</v>
      </c>
      <c r="P19" s="10" t="s">
        <v>0</v>
      </c>
      <c r="Q19" s="10" t="s">
        <v>0</v>
      </c>
      <c r="R19" s="10" t="s">
        <v>0</v>
      </c>
    </row>
    <row r="20" spans="1:18" ht="26.25" customHeight="1" thickBot="1">
      <c r="A20" s="6" t="s">
        <v>0</v>
      </c>
      <c r="B20" s="103" t="s">
        <v>19</v>
      </c>
      <c r="C20" s="104"/>
      <c r="D20" s="105" t="s">
        <v>73</v>
      </c>
      <c r="E20" s="105"/>
      <c r="F20" s="105"/>
      <c r="G20" s="105"/>
      <c r="H20" s="105"/>
      <c r="I20" s="7" t="s">
        <v>0</v>
      </c>
      <c r="J20" s="15" t="s">
        <v>0</v>
      </c>
      <c r="K20" s="10" t="s">
        <v>0</v>
      </c>
      <c r="L20" s="10" t="s">
        <v>0</v>
      </c>
      <c r="M20" s="10" t="s">
        <v>0</v>
      </c>
      <c r="N20" s="10" t="s">
        <v>0</v>
      </c>
      <c r="O20" s="10" t="s">
        <v>0</v>
      </c>
      <c r="P20" s="10" t="s">
        <v>0</v>
      </c>
      <c r="Q20" s="10" t="s">
        <v>0</v>
      </c>
      <c r="R20" s="10" t="s">
        <v>0</v>
      </c>
    </row>
    <row r="21" spans="1:18" ht="26.25" customHeight="1" thickBot="1">
      <c r="A21" s="6" t="s">
        <v>0</v>
      </c>
      <c r="B21" s="103" t="s">
        <v>20</v>
      </c>
      <c r="C21" s="104"/>
      <c r="D21" s="105" t="s">
        <v>74</v>
      </c>
      <c r="E21" s="105"/>
      <c r="F21" s="105"/>
      <c r="G21" s="105"/>
      <c r="H21" s="105"/>
      <c r="I21" s="7" t="s">
        <v>0</v>
      </c>
      <c r="J21" s="15" t="s">
        <v>0</v>
      </c>
      <c r="K21" s="10" t="s">
        <v>0</v>
      </c>
      <c r="L21" s="10" t="s">
        <v>0</v>
      </c>
      <c r="M21" s="10" t="s">
        <v>0</v>
      </c>
      <c r="N21" s="10" t="s">
        <v>0</v>
      </c>
      <c r="O21" s="10" t="s">
        <v>0</v>
      </c>
      <c r="P21" s="10" t="s">
        <v>0</v>
      </c>
      <c r="Q21" s="10" t="s">
        <v>0</v>
      </c>
      <c r="R21" s="10" t="s">
        <v>0</v>
      </c>
    </row>
    <row r="22" spans="1:18" ht="26.25" customHeight="1" thickBot="1">
      <c r="A22" s="6" t="s">
        <v>0</v>
      </c>
      <c r="B22" s="103" t="s">
        <v>21</v>
      </c>
      <c r="C22" s="104"/>
      <c r="D22" s="25" t="s">
        <v>75</v>
      </c>
      <c r="E22" s="25" t="s">
        <v>0</v>
      </c>
      <c r="F22" s="25" t="s">
        <v>0</v>
      </c>
      <c r="G22" s="25" t="s">
        <v>0</v>
      </c>
      <c r="H22" s="26" t="s">
        <v>0</v>
      </c>
      <c r="I22" s="7" t="s">
        <v>0</v>
      </c>
      <c r="J22" s="15" t="s">
        <v>0</v>
      </c>
      <c r="K22" s="10" t="s">
        <v>0</v>
      </c>
      <c r="L22" s="10" t="s">
        <v>0</v>
      </c>
      <c r="M22" s="10" t="s">
        <v>0</v>
      </c>
      <c r="N22" s="10" t="s">
        <v>0</v>
      </c>
      <c r="O22" s="10" t="s">
        <v>0</v>
      </c>
      <c r="P22" s="10" t="s">
        <v>0</v>
      </c>
      <c r="Q22" s="10" t="s">
        <v>0</v>
      </c>
      <c r="R22" s="10" t="s">
        <v>0</v>
      </c>
    </row>
    <row r="23" spans="1:18" ht="26.25" customHeight="1" thickBot="1">
      <c r="A23" s="6" t="s">
        <v>0</v>
      </c>
      <c r="B23" s="103" t="s">
        <v>22</v>
      </c>
      <c r="C23" s="104"/>
      <c r="D23" s="113">
        <v>46307</v>
      </c>
      <c r="E23" s="105"/>
      <c r="F23" s="105"/>
      <c r="G23" s="105"/>
      <c r="H23" s="105"/>
      <c r="I23" s="7" t="s">
        <v>0</v>
      </c>
      <c r="J23" s="15" t="s">
        <v>0</v>
      </c>
      <c r="K23" s="10" t="s">
        <v>0</v>
      </c>
      <c r="L23" s="10" t="s">
        <v>0</v>
      </c>
      <c r="M23" s="10" t="s">
        <v>0</v>
      </c>
      <c r="N23" s="10" t="s">
        <v>0</v>
      </c>
      <c r="O23" s="10" t="s">
        <v>0</v>
      </c>
      <c r="P23" s="10" t="s">
        <v>0</v>
      </c>
      <c r="Q23" s="10" t="s">
        <v>0</v>
      </c>
      <c r="R23" s="10" t="s">
        <v>0</v>
      </c>
    </row>
    <row r="24" spans="1:18" s="24" customFormat="1" ht="42.75" customHeight="1" thickBot="1">
      <c r="A24" s="7" t="s">
        <v>0</v>
      </c>
      <c r="B24" s="7" t="s">
        <v>0</v>
      </c>
      <c r="C24" s="27" t="s">
        <v>0</v>
      </c>
      <c r="D24" s="27" t="s">
        <v>0</v>
      </c>
      <c r="E24" s="7" t="s">
        <v>0</v>
      </c>
      <c r="F24" s="7" t="s">
        <v>0</v>
      </c>
      <c r="G24" s="7" t="s">
        <v>0</v>
      </c>
      <c r="H24" s="28" t="s">
        <v>0</v>
      </c>
      <c r="I24" s="7" t="s">
        <v>0</v>
      </c>
      <c r="J24" s="15" t="s">
        <v>0</v>
      </c>
      <c r="K24" s="10" t="s">
        <v>0</v>
      </c>
      <c r="L24" s="10" t="s">
        <v>0</v>
      </c>
      <c r="M24" s="10" t="s">
        <v>0</v>
      </c>
      <c r="N24" s="10" t="s">
        <v>0</v>
      </c>
      <c r="O24" s="10" t="s">
        <v>0</v>
      </c>
      <c r="P24" s="10" t="s">
        <v>0</v>
      </c>
      <c r="Q24" s="10" t="s">
        <v>0</v>
      </c>
      <c r="R24" s="10" t="s">
        <v>0</v>
      </c>
    </row>
    <row r="25" spans="1:18" s="24" customFormat="1" ht="71.25" customHeight="1">
      <c r="A25" s="29" t="s">
        <v>0</v>
      </c>
      <c r="B25" s="94" t="s">
        <v>0</v>
      </c>
      <c r="C25" s="95"/>
      <c r="D25" s="96" t="s">
        <v>23</v>
      </c>
      <c r="E25" s="97"/>
      <c r="F25" s="97"/>
      <c r="G25" s="98"/>
      <c r="H25" s="30" t="s">
        <v>24</v>
      </c>
      <c r="I25" s="31" t="s">
        <v>0</v>
      </c>
      <c r="J25" s="32" t="s">
        <v>0</v>
      </c>
      <c r="K25" s="33" t="s">
        <v>0</v>
      </c>
      <c r="L25" s="33" t="s">
        <v>0</v>
      </c>
      <c r="M25" s="33" t="s">
        <v>0</v>
      </c>
      <c r="N25" s="33" t="s">
        <v>0</v>
      </c>
      <c r="O25" s="33" t="s">
        <v>0</v>
      </c>
      <c r="P25" s="33" t="s">
        <v>0</v>
      </c>
      <c r="Q25" s="33" t="s">
        <v>0</v>
      </c>
      <c r="R25" s="33" t="s">
        <v>0</v>
      </c>
    </row>
    <row r="26" spans="1:18" ht="56.25" customHeight="1">
      <c r="A26" s="6" t="s">
        <v>0</v>
      </c>
      <c r="B26" s="34" t="s">
        <v>25</v>
      </c>
      <c r="C26" s="35" t="s">
        <v>26</v>
      </c>
      <c r="D26" s="99" t="s">
        <v>27</v>
      </c>
      <c r="E26" s="99"/>
      <c r="F26" s="99"/>
      <c r="G26" s="100"/>
      <c r="H26" s="36">
        <v>0.25</v>
      </c>
      <c r="I26" s="14" t="s">
        <v>0</v>
      </c>
      <c r="J26" s="15" t="s">
        <v>0</v>
      </c>
      <c r="K26" s="10" t="s">
        <v>0</v>
      </c>
      <c r="L26" s="10" t="s">
        <v>0</v>
      </c>
      <c r="M26" s="10" t="s">
        <v>0</v>
      </c>
      <c r="N26" s="10" t="s">
        <v>0</v>
      </c>
      <c r="O26" s="10" t="s">
        <v>0</v>
      </c>
      <c r="P26" s="10" t="s">
        <v>0</v>
      </c>
      <c r="Q26" s="10" t="s">
        <v>0</v>
      </c>
      <c r="R26" s="10" t="s">
        <v>0</v>
      </c>
    </row>
    <row r="27" spans="1:18" ht="56.25" customHeight="1">
      <c r="A27" s="6" t="s">
        <v>0</v>
      </c>
      <c r="B27" s="37" t="s">
        <v>0</v>
      </c>
      <c r="C27" s="38" t="s">
        <v>28</v>
      </c>
      <c r="D27" s="101" t="s">
        <v>29</v>
      </c>
      <c r="E27" s="101"/>
      <c r="F27" s="101"/>
      <c r="G27" s="102"/>
      <c r="H27" s="39">
        <v>8</v>
      </c>
      <c r="I27" s="14" t="s">
        <v>0</v>
      </c>
      <c r="J27" s="15" t="s">
        <v>0</v>
      </c>
      <c r="K27" s="10" t="s">
        <v>0</v>
      </c>
      <c r="L27" s="10" t="s">
        <v>0</v>
      </c>
      <c r="M27" s="10" t="s">
        <v>0</v>
      </c>
      <c r="N27" s="10" t="s">
        <v>0</v>
      </c>
      <c r="O27" s="10" t="s">
        <v>0</v>
      </c>
      <c r="P27" s="10" t="s">
        <v>0</v>
      </c>
      <c r="Q27" s="10" t="s">
        <v>0</v>
      </c>
      <c r="R27" s="10" t="s">
        <v>0</v>
      </c>
    </row>
    <row r="28" spans="1:18" ht="56.25" customHeight="1">
      <c r="A28" s="6" t="s">
        <v>0</v>
      </c>
      <c r="B28" s="37" t="s">
        <v>0</v>
      </c>
      <c r="C28" s="38" t="s">
        <v>30</v>
      </c>
      <c r="D28" s="101" t="s">
        <v>31</v>
      </c>
      <c r="E28" s="101"/>
      <c r="F28" s="101"/>
      <c r="G28" s="102"/>
      <c r="H28" s="39">
        <v>8</v>
      </c>
      <c r="I28" s="14" t="s">
        <v>0</v>
      </c>
      <c r="J28" s="15" t="s">
        <v>0</v>
      </c>
      <c r="K28" s="10" t="s">
        <v>0</v>
      </c>
      <c r="L28" s="10" t="s">
        <v>0</v>
      </c>
      <c r="M28" s="10" t="s">
        <v>0</v>
      </c>
      <c r="N28" s="10" t="s">
        <v>0</v>
      </c>
      <c r="O28" s="10" t="s">
        <v>0</v>
      </c>
      <c r="P28" s="10" t="s">
        <v>0</v>
      </c>
      <c r="Q28" s="10" t="s">
        <v>0</v>
      </c>
      <c r="R28" s="10" t="s">
        <v>0</v>
      </c>
    </row>
    <row r="29" spans="1:18" ht="56.25" customHeight="1">
      <c r="A29" s="6" t="s">
        <v>0</v>
      </c>
      <c r="B29" s="37" t="s">
        <v>0</v>
      </c>
      <c r="C29" s="38" t="s">
        <v>32</v>
      </c>
      <c r="D29" s="101" t="s">
        <v>33</v>
      </c>
      <c r="E29" s="101"/>
      <c r="F29" s="101"/>
      <c r="G29" s="102"/>
      <c r="H29" s="39">
        <v>8</v>
      </c>
      <c r="I29" s="40" t="s">
        <v>0</v>
      </c>
      <c r="J29" s="41" t="s">
        <v>0</v>
      </c>
      <c r="K29" s="10" t="s">
        <v>0</v>
      </c>
      <c r="L29" s="10" t="s">
        <v>0</v>
      </c>
      <c r="M29" s="10" t="s">
        <v>0</v>
      </c>
      <c r="N29" s="10" t="s">
        <v>0</v>
      </c>
      <c r="O29" s="10" t="s">
        <v>0</v>
      </c>
      <c r="P29" s="10" t="s">
        <v>0</v>
      </c>
      <c r="Q29" s="10" t="s">
        <v>0</v>
      </c>
      <c r="R29" s="10" t="s">
        <v>0</v>
      </c>
    </row>
    <row r="30" spans="1:18" s="24" customFormat="1" ht="76.5" customHeight="1">
      <c r="A30" s="42" t="s">
        <v>0</v>
      </c>
      <c r="B30" s="91" t="s">
        <v>0</v>
      </c>
      <c r="C30" s="92"/>
      <c r="D30" s="92"/>
      <c r="E30" s="92"/>
      <c r="F30" s="93"/>
      <c r="G30" s="43" t="s">
        <v>34</v>
      </c>
      <c r="H30" s="64">
        <f>IF(AND(H27&gt;=4,H29&gt;=4,H28&gt;=4),ROUNDDOWN((H27+H29+H28)/3,1),"FAIL")</f>
        <v>8</v>
      </c>
      <c r="I30" s="14" t="s">
        <v>0</v>
      </c>
      <c r="J30" s="15" t="s">
        <v>0</v>
      </c>
      <c r="K30" s="10" t="s">
        <v>0</v>
      </c>
      <c r="L30" s="10" t="s">
        <v>0</v>
      </c>
      <c r="M30" s="10" t="s">
        <v>0</v>
      </c>
      <c r="N30" s="10" t="s">
        <v>0</v>
      </c>
      <c r="O30" s="10" t="s">
        <v>0</v>
      </c>
      <c r="P30" s="10" t="s">
        <v>0</v>
      </c>
      <c r="Q30" s="10" t="s">
        <v>0</v>
      </c>
      <c r="R30" s="10" t="s">
        <v>0</v>
      </c>
    </row>
    <row r="31" spans="1:18" s="24" customFormat="1" ht="123" customHeight="1">
      <c r="A31" s="42" t="s">
        <v>0</v>
      </c>
      <c r="B31" s="74" t="s">
        <v>76</v>
      </c>
      <c r="C31" s="75"/>
      <c r="D31" s="75"/>
      <c r="E31" s="75"/>
      <c r="F31" s="75"/>
      <c r="G31" s="75"/>
      <c r="H31" s="76"/>
      <c r="I31" s="14" t="s">
        <v>0</v>
      </c>
      <c r="J31" s="15" t="s">
        <v>0</v>
      </c>
      <c r="K31" s="10" t="s">
        <v>0</v>
      </c>
      <c r="L31" s="10" t="s">
        <v>0</v>
      </c>
      <c r="M31" s="10" t="s">
        <v>0</v>
      </c>
      <c r="N31" s="10" t="s">
        <v>0</v>
      </c>
      <c r="O31" s="10" t="s">
        <v>0</v>
      </c>
      <c r="P31" s="10" t="s">
        <v>0</v>
      </c>
      <c r="Q31" s="10" t="s">
        <v>0</v>
      </c>
      <c r="R31" s="10" t="s">
        <v>0</v>
      </c>
    </row>
    <row r="32" spans="1:18" s="24" customFormat="1" ht="55.5" customHeight="1">
      <c r="A32" s="42"/>
      <c r="B32" s="84"/>
      <c r="C32" s="85"/>
      <c r="D32" s="85"/>
      <c r="E32" s="85"/>
      <c r="F32" s="85"/>
      <c r="G32" s="85"/>
      <c r="H32" s="86"/>
      <c r="I32" s="14"/>
      <c r="J32" s="15"/>
      <c r="K32" s="10"/>
      <c r="L32" s="10"/>
      <c r="M32" s="10"/>
      <c r="N32" s="10"/>
      <c r="O32" s="10"/>
      <c r="P32" s="10"/>
      <c r="Q32" s="10"/>
      <c r="R32" s="10"/>
    </row>
    <row r="33" spans="1:18" ht="56.25" customHeight="1">
      <c r="A33" s="42" t="s">
        <v>0</v>
      </c>
      <c r="B33" s="44" t="s">
        <v>35</v>
      </c>
      <c r="C33" s="45" t="s">
        <v>36</v>
      </c>
      <c r="D33" s="87" t="s">
        <v>37</v>
      </c>
      <c r="E33" s="87"/>
      <c r="F33" s="87"/>
      <c r="G33" s="88"/>
      <c r="H33" s="46">
        <v>0.4</v>
      </c>
      <c r="I33" s="14" t="s">
        <v>0</v>
      </c>
      <c r="J33" s="15" t="s">
        <v>0</v>
      </c>
      <c r="K33" s="10" t="s">
        <v>0</v>
      </c>
      <c r="L33" s="10" t="s">
        <v>0</v>
      </c>
      <c r="M33" s="10" t="s">
        <v>0</v>
      </c>
      <c r="N33" s="10" t="s">
        <v>0</v>
      </c>
      <c r="O33" s="10" t="s">
        <v>0</v>
      </c>
      <c r="P33" s="10" t="s">
        <v>0</v>
      </c>
      <c r="Q33" s="10" t="s">
        <v>0</v>
      </c>
      <c r="R33" s="10" t="s">
        <v>0</v>
      </c>
    </row>
    <row r="34" spans="1:18" ht="56.25" customHeight="1">
      <c r="A34" s="42" t="s">
        <v>0</v>
      </c>
      <c r="B34" s="47" t="s">
        <v>0</v>
      </c>
      <c r="C34" s="48" t="s">
        <v>38</v>
      </c>
      <c r="D34" s="89" t="s">
        <v>39</v>
      </c>
      <c r="E34" s="89"/>
      <c r="F34" s="89"/>
      <c r="G34" s="90"/>
      <c r="H34" s="39">
        <v>8</v>
      </c>
      <c r="I34" s="14" t="s">
        <v>0</v>
      </c>
      <c r="J34" s="15" t="s">
        <v>0</v>
      </c>
      <c r="K34" s="10" t="s">
        <v>0</v>
      </c>
      <c r="L34" s="10" t="s">
        <v>0</v>
      </c>
      <c r="M34" s="10" t="s">
        <v>0</v>
      </c>
      <c r="N34" s="10" t="s">
        <v>0</v>
      </c>
      <c r="O34" s="10" t="s">
        <v>0</v>
      </c>
      <c r="P34" s="10" t="s">
        <v>0</v>
      </c>
      <c r="Q34" s="10" t="s">
        <v>0</v>
      </c>
      <c r="R34" s="10" t="s">
        <v>0</v>
      </c>
    </row>
    <row r="35" spans="1:18" ht="56.25" customHeight="1">
      <c r="A35" s="42" t="s">
        <v>0</v>
      </c>
      <c r="B35" s="47" t="s">
        <v>0</v>
      </c>
      <c r="C35" s="48" t="s">
        <v>40</v>
      </c>
      <c r="D35" s="89" t="s">
        <v>41</v>
      </c>
      <c r="E35" s="89"/>
      <c r="F35" s="89"/>
      <c r="G35" s="90"/>
      <c r="H35" s="39">
        <v>8</v>
      </c>
      <c r="I35" s="14" t="s">
        <v>0</v>
      </c>
      <c r="J35" s="15" t="s">
        <v>0</v>
      </c>
      <c r="K35" s="10" t="s">
        <v>0</v>
      </c>
      <c r="L35" s="10" t="s">
        <v>0</v>
      </c>
      <c r="M35" s="10" t="s">
        <v>0</v>
      </c>
      <c r="N35" s="10" t="s">
        <v>0</v>
      </c>
      <c r="O35" s="10" t="s">
        <v>0</v>
      </c>
      <c r="P35" s="10" t="s">
        <v>0</v>
      </c>
      <c r="Q35" s="10" t="s">
        <v>0</v>
      </c>
      <c r="R35" s="10" t="s">
        <v>0</v>
      </c>
    </row>
    <row r="36" spans="1:18" ht="56.25" customHeight="1">
      <c r="A36" s="42" t="s">
        <v>0</v>
      </c>
      <c r="B36" s="71" t="s">
        <v>0</v>
      </c>
      <c r="C36" s="72"/>
      <c r="D36" s="72"/>
      <c r="E36" s="72"/>
      <c r="F36" s="73"/>
      <c r="G36" s="43" t="s">
        <v>42</v>
      </c>
      <c r="H36" s="64">
        <f>IF(AND(H34&gt;=4,H35&gt;=4),ROUNDDOWN((H34+H35)/2,1),"FAIL")</f>
        <v>8</v>
      </c>
      <c r="I36" s="14" t="s">
        <v>0</v>
      </c>
      <c r="J36" s="15" t="s">
        <v>0</v>
      </c>
      <c r="K36" s="10" t="s">
        <v>0</v>
      </c>
      <c r="L36" s="10" t="s">
        <v>0</v>
      </c>
      <c r="M36" s="10" t="s">
        <v>0</v>
      </c>
      <c r="N36" s="10" t="s">
        <v>0</v>
      </c>
      <c r="O36" s="10" t="s">
        <v>0</v>
      </c>
      <c r="P36" s="10" t="s">
        <v>0</v>
      </c>
      <c r="Q36" s="10" t="s">
        <v>0</v>
      </c>
      <c r="R36" s="10" t="s">
        <v>0</v>
      </c>
    </row>
    <row r="37" spans="1:18" s="24" customFormat="1" ht="129" customHeight="1">
      <c r="A37" s="42" t="s">
        <v>0</v>
      </c>
      <c r="B37" s="74" t="s">
        <v>77</v>
      </c>
      <c r="C37" s="75"/>
      <c r="D37" s="75"/>
      <c r="E37" s="75"/>
      <c r="F37" s="75"/>
      <c r="G37" s="75"/>
      <c r="H37" s="76"/>
      <c r="I37" s="14" t="s">
        <v>0</v>
      </c>
      <c r="J37" s="15" t="s">
        <v>0</v>
      </c>
      <c r="K37" s="10" t="s">
        <v>0</v>
      </c>
      <c r="L37" s="10" t="s">
        <v>0</v>
      </c>
      <c r="M37" s="10" t="s">
        <v>0</v>
      </c>
      <c r="N37" s="10" t="s">
        <v>0</v>
      </c>
      <c r="O37" s="10" t="s">
        <v>0</v>
      </c>
      <c r="P37" s="10" t="s">
        <v>0</v>
      </c>
      <c r="Q37" s="10" t="s">
        <v>0</v>
      </c>
      <c r="R37" s="10" t="s">
        <v>0</v>
      </c>
    </row>
    <row r="38" spans="1:18" s="24" customFormat="1" ht="55.5" customHeight="1">
      <c r="A38" s="42"/>
      <c r="B38" s="84"/>
      <c r="C38" s="85"/>
      <c r="D38" s="85"/>
      <c r="E38" s="85"/>
      <c r="F38" s="85"/>
      <c r="G38" s="85"/>
      <c r="H38" s="86"/>
      <c r="I38" s="14"/>
      <c r="J38" s="15"/>
      <c r="K38" s="10"/>
      <c r="L38" s="10"/>
      <c r="M38" s="10"/>
      <c r="N38" s="10"/>
      <c r="O38" s="10"/>
      <c r="P38" s="10"/>
      <c r="Q38" s="10"/>
      <c r="R38" s="10"/>
    </row>
    <row r="39" spans="1:18" ht="56.25" customHeight="1">
      <c r="A39" s="42" t="s">
        <v>0</v>
      </c>
      <c r="B39" s="44" t="s">
        <v>43</v>
      </c>
      <c r="C39" s="45" t="s">
        <v>44</v>
      </c>
      <c r="D39" s="87" t="s">
        <v>45</v>
      </c>
      <c r="E39" s="87"/>
      <c r="F39" s="87"/>
      <c r="G39" s="88"/>
      <c r="H39" s="46">
        <v>0.1</v>
      </c>
      <c r="I39" s="14" t="s">
        <v>0</v>
      </c>
      <c r="J39" s="15" t="s">
        <v>0</v>
      </c>
      <c r="K39" s="10" t="s">
        <v>0</v>
      </c>
      <c r="L39" s="10" t="s">
        <v>0</v>
      </c>
      <c r="M39" s="10" t="s">
        <v>0</v>
      </c>
      <c r="N39" s="10" t="s">
        <v>0</v>
      </c>
      <c r="O39" s="10" t="s">
        <v>0</v>
      </c>
      <c r="P39" s="10" t="s">
        <v>0</v>
      </c>
      <c r="Q39" s="10" t="s">
        <v>0</v>
      </c>
      <c r="R39" s="10" t="s">
        <v>0</v>
      </c>
    </row>
    <row r="40" spans="1:18" ht="56.25" customHeight="1">
      <c r="A40" s="42" t="s">
        <v>0</v>
      </c>
      <c r="B40" s="47" t="s">
        <v>0</v>
      </c>
      <c r="C40" s="48" t="s">
        <v>46</v>
      </c>
      <c r="D40" s="89" t="s">
        <v>47</v>
      </c>
      <c r="E40" s="89"/>
      <c r="F40" s="89"/>
      <c r="G40" s="90"/>
      <c r="H40" s="39">
        <v>7</v>
      </c>
      <c r="I40" s="14" t="s">
        <v>0</v>
      </c>
      <c r="J40" s="15" t="s">
        <v>0</v>
      </c>
      <c r="K40" s="10" t="s">
        <v>0</v>
      </c>
      <c r="L40" s="10" t="s">
        <v>0</v>
      </c>
      <c r="M40" s="10" t="s">
        <v>0</v>
      </c>
      <c r="N40" s="10" t="s">
        <v>0</v>
      </c>
      <c r="O40" s="10" t="s">
        <v>0</v>
      </c>
      <c r="P40" s="10" t="s">
        <v>0</v>
      </c>
      <c r="Q40" s="10" t="s">
        <v>0</v>
      </c>
      <c r="R40" s="10" t="s">
        <v>0</v>
      </c>
    </row>
    <row r="41" spans="1:18" ht="56.25" customHeight="1">
      <c r="A41" s="42" t="s">
        <v>0</v>
      </c>
      <c r="B41" s="47" t="s">
        <v>0</v>
      </c>
      <c r="C41" s="48" t="s">
        <v>48</v>
      </c>
      <c r="D41" s="89" t="s">
        <v>49</v>
      </c>
      <c r="E41" s="89"/>
      <c r="F41" s="89"/>
      <c r="G41" s="90"/>
      <c r="H41" s="39">
        <v>8</v>
      </c>
      <c r="I41" s="14" t="s">
        <v>0</v>
      </c>
      <c r="J41" s="15" t="s">
        <v>0</v>
      </c>
      <c r="K41" s="10" t="s">
        <v>0</v>
      </c>
      <c r="L41" s="10" t="s">
        <v>0</v>
      </c>
      <c r="M41" s="10" t="s">
        <v>0</v>
      </c>
      <c r="N41" s="10" t="s">
        <v>0</v>
      </c>
      <c r="O41" s="10" t="s">
        <v>0</v>
      </c>
      <c r="P41" s="10" t="s">
        <v>0</v>
      </c>
      <c r="Q41" s="10" t="s">
        <v>0</v>
      </c>
      <c r="R41" s="10" t="s">
        <v>0</v>
      </c>
    </row>
    <row r="42" spans="1:18" ht="56.25" customHeight="1">
      <c r="A42" s="42" t="s">
        <v>0</v>
      </c>
      <c r="B42" s="71" t="s">
        <v>0</v>
      </c>
      <c r="C42" s="72"/>
      <c r="D42" s="72"/>
      <c r="E42" s="72"/>
      <c r="F42" s="73"/>
      <c r="G42" s="43" t="s">
        <v>50</v>
      </c>
      <c r="H42" s="64">
        <f>IF(AND(H40&gt;=4,H41&gt;=4,H47&gt;=4),ROUNDDOWN((H40+H41+H47)/3,1),"FAIL")</f>
        <v>7.6</v>
      </c>
      <c r="I42" s="14" t="s">
        <v>0</v>
      </c>
      <c r="J42" s="15" t="s">
        <v>0</v>
      </c>
      <c r="K42" s="10" t="s">
        <v>0</v>
      </c>
      <c r="L42" s="10" t="s">
        <v>0</v>
      </c>
      <c r="M42" s="10" t="s">
        <v>0</v>
      </c>
      <c r="N42" s="10" t="s">
        <v>0</v>
      </c>
      <c r="O42" s="10" t="s">
        <v>0</v>
      </c>
      <c r="P42" s="10" t="s">
        <v>0</v>
      </c>
      <c r="Q42" s="10" t="s">
        <v>0</v>
      </c>
      <c r="R42" s="10" t="s">
        <v>0</v>
      </c>
    </row>
    <row r="43" spans="1:18" s="24" customFormat="1" ht="129" customHeight="1">
      <c r="A43" s="42" t="s">
        <v>0</v>
      </c>
      <c r="B43" s="74" t="s">
        <v>78</v>
      </c>
      <c r="C43" s="75"/>
      <c r="D43" s="75"/>
      <c r="E43" s="75"/>
      <c r="F43" s="75"/>
      <c r="G43" s="75"/>
      <c r="H43" s="76"/>
      <c r="I43" s="14" t="s">
        <v>0</v>
      </c>
      <c r="J43" s="15" t="s">
        <v>0</v>
      </c>
      <c r="K43" s="10" t="s">
        <v>0</v>
      </c>
      <c r="L43" s="10" t="s">
        <v>0</v>
      </c>
      <c r="M43" s="10" t="s">
        <v>0</v>
      </c>
      <c r="N43" s="10" t="s">
        <v>0</v>
      </c>
      <c r="O43" s="10" t="s">
        <v>0</v>
      </c>
      <c r="P43" s="10" t="s">
        <v>0</v>
      </c>
      <c r="Q43" s="10" t="s">
        <v>0</v>
      </c>
      <c r="R43" s="10" t="s">
        <v>0</v>
      </c>
    </row>
    <row r="44" spans="1:18" s="24" customFormat="1" ht="55.5" customHeight="1">
      <c r="A44" s="42"/>
      <c r="B44" s="84"/>
      <c r="C44" s="85"/>
      <c r="D44" s="85"/>
      <c r="E44" s="85"/>
      <c r="F44" s="85"/>
      <c r="G44" s="85"/>
      <c r="H44" s="86"/>
      <c r="I44" s="14"/>
      <c r="J44" s="15"/>
      <c r="K44" s="10"/>
      <c r="L44" s="10"/>
      <c r="M44" s="10"/>
      <c r="N44" s="10"/>
      <c r="O44" s="10"/>
      <c r="P44" s="10"/>
      <c r="Q44" s="10"/>
      <c r="R44" s="10"/>
    </row>
    <row r="45" spans="1:18" ht="56.25" customHeight="1">
      <c r="A45" s="42" t="s">
        <v>0</v>
      </c>
      <c r="B45" s="44" t="s">
        <v>51</v>
      </c>
      <c r="C45" s="45" t="s">
        <v>52</v>
      </c>
      <c r="D45" s="87" t="s">
        <v>53</v>
      </c>
      <c r="E45" s="87"/>
      <c r="F45" s="87"/>
      <c r="G45" s="88"/>
      <c r="H45" s="46">
        <v>0.15</v>
      </c>
      <c r="I45" s="14" t="s">
        <v>0</v>
      </c>
      <c r="J45" s="15" t="s">
        <v>0</v>
      </c>
      <c r="K45" s="10" t="s">
        <v>0</v>
      </c>
      <c r="L45" s="10" t="s">
        <v>0</v>
      </c>
      <c r="M45" s="10" t="s">
        <v>0</v>
      </c>
      <c r="N45" s="10" t="s">
        <v>0</v>
      </c>
      <c r="O45" s="10" t="s">
        <v>0</v>
      </c>
      <c r="P45" s="10" t="s">
        <v>0</v>
      </c>
      <c r="Q45" s="10" t="s">
        <v>0</v>
      </c>
      <c r="R45" s="10" t="s">
        <v>0</v>
      </c>
    </row>
    <row r="46" spans="1:18" ht="45" customHeight="1">
      <c r="A46" s="42" t="s">
        <v>0</v>
      </c>
      <c r="B46" s="47" t="s">
        <v>0</v>
      </c>
      <c r="C46" s="49" t="s">
        <v>54</v>
      </c>
      <c r="D46" s="69" t="s">
        <v>55</v>
      </c>
      <c r="E46" s="69"/>
      <c r="F46" s="69"/>
      <c r="G46" s="70"/>
      <c r="H46" s="39">
        <v>8</v>
      </c>
      <c r="I46" s="14" t="s">
        <v>0</v>
      </c>
      <c r="J46" s="15" t="s">
        <v>0</v>
      </c>
      <c r="K46" s="10" t="s">
        <v>0</v>
      </c>
      <c r="L46" s="10" t="s">
        <v>0</v>
      </c>
      <c r="M46" s="10" t="s">
        <v>0</v>
      </c>
      <c r="N46" s="10" t="s">
        <v>0</v>
      </c>
      <c r="O46" s="10" t="s">
        <v>0</v>
      </c>
      <c r="P46" s="10" t="s">
        <v>0</v>
      </c>
      <c r="Q46" s="10" t="s">
        <v>0</v>
      </c>
      <c r="R46" s="10" t="s">
        <v>0</v>
      </c>
    </row>
    <row r="47" spans="1:18" ht="56.25" customHeight="1">
      <c r="A47" s="42" t="s">
        <v>0</v>
      </c>
      <c r="B47" s="47" t="s">
        <v>0</v>
      </c>
      <c r="C47" s="49" t="s">
        <v>56</v>
      </c>
      <c r="D47" s="69" t="s">
        <v>57</v>
      </c>
      <c r="E47" s="69"/>
      <c r="F47" s="69"/>
      <c r="G47" s="70"/>
      <c r="H47" s="39">
        <v>8</v>
      </c>
      <c r="I47" s="14" t="s">
        <v>0</v>
      </c>
      <c r="J47" s="15" t="s">
        <v>0</v>
      </c>
      <c r="K47" s="10" t="s">
        <v>0</v>
      </c>
      <c r="L47" s="10" t="s">
        <v>0</v>
      </c>
      <c r="M47" s="10" t="s">
        <v>0</v>
      </c>
      <c r="N47" s="10" t="s">
        <v>0</v>
      </c>
      <c r="O47" s="10" t="s">
        <v>0</v>
      </c>
      <c r="P47" s="10" t="s">
        <v>0</v>
      </c>
      <c r="Q47" s="10" t="s">
        <v>0</v>
      </c>
      <c r="R47" s="10" t="s">
        <v>0</v>
      </c>
    </row>
    <row r="48" spans="1:18" ht="46.5" customHeight="1">
      <c r="A48" s="42" t="s">
        <v>0</v>
      </c>
      <c r="B48" s="47" t="s">
        <v>0</v>
      </c>
      <c r="C48" s="49" t="s">
        <v>58</v>
      </c>
      <c r="D48" s="69" t="s">
        <v>59</v>
      </c>
      <c r="E48" s="69"/>
      <c r="F48" s="69"/>
      <c r="G48" s="70"/>
      <c r="H48" s="39">
        <v>8</v>
      </c>
      <c r="I48" s="14" t="s">
        <v>0</v>
      </c>
      <c r="J48" s="15" t="s">
        <v>0</v>
      </c>
      <c r="K48" s="10" t="s">
        <v>0</v>
      </c>
      <c r="L48" s="10" t="s">
        <v>0</v>
      </c>
      <c r="M48" s="10" t="s">
        <v>0</v>
      </c>
      <c r="N48" s="10" t="s">
        <v>0</v>
      </c>
      <c r="O48" s="10" t="s">
        <v>0</v>
      </c>
      <c r="P48" s="10" t="s">
        <v>0</v>
      </c>
      <c r="Q48" s="10" t="s">
        <v>0</v>
      </c>
      <c r="R48" s="10" t="s">
        <v>0</v>
      </c>
    </row>
    <row r="49" spans="1:18" ht="53.25" customHeight="1">
      <c r="A49" s="42" t="s">
        <v>0</v>
      </c>
      <c r="B49" s="71" t="s">
        <v>0</v>
      </c>
      <c r="C49" s="72"/>
      <c r="D49" s="72"/>
      <c r="E49" s="72"/>
      <c r="F49" s="73"/>
      <c r="G49" s="43" t="s">
        <v>60</v>
      </c>
      <c r="H49" s="64">
        <f>IF(AND(H46&gt;=4,H47&gt;=4,H48&gt;=4),ROUNDDOWN((H46+H47+H48)/3,1),"FAIL")</f>
        <v>8</v>
      </c>
      <c r="I49" s="14" t="s">
        <v>0</v>
      </c>
      <c r="J49" s="15" t="s">
        <v>0</v>
      </c>
      <c r="K49" s="50" t="s">
        <v>0</v>
      </c>
      <c r="L49" s="10" t="s">
        <v>0</v>
      </c>
      <c r="M49" s="10" t="s">
        <v>0</v>
      </c>
      <c r="N49" s="10" t="s">
        <v>0</v>
      </c>
      <c r="O49" s="10" t="s">
        <v>0</v>
      </c>
      <c r="P49" s="10" t="s">
        <v>0</v>
      </c>
      <c r="Q49" s="10" t="s">
        <v>0</v>
      </c>
      <c r="R49" s="10" t="s">
        <v>0</v>
      </c>
    </row>
    <row r="50" spans="1:18" ht="129" customHeight="1">
      <c r="A50" s="42" t="s">
        <v>0</v>
      </c>
      <c r="B50" s="74" t="s">
        <v>79</v>
      </c>
      <c r="C50" s="75"/>
      <c r="D50" s="75"/>
      <c r="E50" s="75"/>
      <c r="F50" s="75"/>
      <c r="G50" s="75"/>
      <c r="H50" s="76"/>
      <c r="I50" s="14" t="s">
        <v>0</v>
      </c>
      <c r="J50" s="15" t="s">
        <v>0</v>
      </c>
      <c r="K50" s="10" t="s">
        <v>0</v>
      </c>
      <c r="L50" s="10" t="s">
        <v>0</v>
      </c>
      <c r="M50" s="10" t="s">
        <v>0</v>
      </c>
      <c r="N50" s="51" t="s">
        <v>0</v>
      </c>
      <c r="O50" s="51" t="s">
        <v>0</v>
      </c>
      <c r="P50" s="51" t="s">
        <v>0</v>
      </c>
      <c r="Q50" s="51" t="s">
        <v>0</v>
      </c>
      <c r="R50" s="51" t="s">
        <v>0</v>
      </c>
    </row>
    <row r="51" spans="1:18" ht="55.5" customHeight="1">
      <c r="A51" s="42"/>
      <c r="B51" s="84"/>
      <c r="C51" s="85"/>
      <c r="D51" s="85"/>
      <c r="E51" s="85"/>
      <c r="F51" s="85"/>
      <c r="G51" s="85"/>
      <c r="H51" s="86"/>
      <c r="I51" s="14"/>
      <c r="J51" s="15"/>
      <c r="K51" s="10"/>
      <c r="L51" s="10"/>
      <c r="M51" s="10"/>
      <c r="N51" s="51"/>
      <c r="O51" s="51"/>
      <c r="P51" s="51"/>
      <c r="Q51" s="51"/>
      <c r="R51" s="51"/>
    </row>
    <row r="52" spans="1:18" ht="64.5" customHeight="1">
      <c r="A52" s="42" t="s">
        <v>0</v>
      </c>
      <c r="B52" s="44" t="s">
        <v>61</v>
      </c>
      <c r="C52" s="45" t="s">
        <v>62</v>
      </c>
      <c r="D52" s="87" t="s">
        <v>63</v>
      </c>
      <c r="E52" s="87"/>
      <c r="F52" s="87"/>
      <c r="G52" s="88"/>
      <c r="H52" s="46">
        <v>0.1</v>
      </c>
      <c r="I52" s="14" t="s">
        <v>0</v>
      </c>
      <c r="J52" s="15" t="s">
        <v>0</v>
      </c>
      <c r="K52" s="10" t="s">
        <v>0</v>
      </c>
      <c r="L52" s="10" t="s">
        <v>0</v>
      </c>
      <c r="M52" s="10" t="s">
        <v>0</v>
      </c>
      <c r="N52" s="51" t="s">
        <v>0</v>
      </c>
      <c r="O52" s="51" t="s">
        <v>0</v>
      </c>
      <c r="P52" s="51" t="s">
        <v>0</v>
      </c>
      <c r="Q52" s="51" t="s">
        <v>0</v>
      </c>
      <c r="R52" s="51" t="s">
        <v>0</v>
      </c>
    </row>
    <row r="53" spans="1:18" ht="71.25" customHeight="1">
      <c r="A53" s="42" t="s">
        <v>0</v>
      </c>
      <c r="B53" s="47" t="s">
        <v>0</v>
      </c>
      <c r="C53" s="49" t="s">
        <v>64</v>
      </c>
      <c r="D53" s="69" t="s">
        <v>65</v>
      </c>
      <c r="E53" s="69"/>
      <c r="F53" s="69"/>
      <c r="G53" s="70"/>
      <c r="H53" s="39">
        <v>8</v>
      </c>
      <c r="I53" s="14" t="s">
        <v>0</v>
      </c>
      <c r="J53" s="15" t="s">
        <v>0</v>
      </c>
      <c r="K53" s="10" t="s">
        <v>0</v>
      </c>
      <c r="L53" s="10" t="s">
        <v>0</v>
      </c>
      <c r="M53" s="10" t="s">
        <v>0</v>
      </c>
      <c r="N53" s="51" t="s">
        <v>0</v>
      </c>
      <c r="O53" s="51" t="s">
        <v>0</v>
      </c>
      <c r="P53" s="51" t="s">
        <v>0</v>
      </c>
      <c r="Q53" s="51" t="s">
        <v>0</v>
      </c>
      <c r="R53" s="51" t="s">
        <v>0</v>
      </c>
    </row>
    <row r="54" spans="1:18" ht="71.25" customHeight="1">
      <c r="A54" s="42" t="s">
        <v>0</v>
      </c>
      <c r="B54" s="47" t="s">
        <v>0</v>
      </c>
      <c r="C54" s="49" t="s">
        <v>66</v>
      </c>
      <c r="D54" s="69" t="s">
        <v>67</v>
      </c>
      <c r="E54" s="69"/>
      <c r="F54" s="69"/>
      <c r="G54" s="70"/>
      <c r="H54" s="39">
        <v>8</v>
      </c>
      <c r="I54" s="14" t="s">
        <v>0</v>
      </c>
      <c r="J54" s="15" t="s">
        <v>0</v>
      </c>
      <c r="K54" s="10" t="s">
        <v>0</v>
      </c>
      <c r="L54" s="10" t="s">
        <v>0</v>
      </c>
      <c r="M54" s="10" t="s">
        <v>0</v>
      </c>
      <c r="N54" s="51" t="s">
        <v>0</v>
      </c>
      <c r="O54" s="51" t="s">
        <v>0</v>
      </c>
      <c r="P54" s="51" t="s">
        <v>0</v>
      </c>
      <c r="Q54" s="51" t="s">
        <v>0</v>
      </c>
      <c r="R54" s="51" t="s">
        <v>0</v>
      </c>
    </row>
    <row r="55" spans="1:18" ht="42.75" customHeight="1">
      <c r="A55" s="42" t="s">
        <v>0</v>
      </c>
      <c r="B55" s="71" t="s">
        <v>0</v>
      </c>
      <c r="C55" s="72"/>
      <c r="D55" s="72"/>
      <c r="E55" s="72"/>
      <c r="F55" s="73"/>
      <c r="G55" s="43" t="s">
        <v>68</v>
      </c>
      <c r="H55" s="64">
        <f>IF(AND(H53&gt;=4,H54&gt;=4),ROUNDDOWN((H53+H54)/2,1),"FAIL")</f>
        <v>8</v>
      </c>
      <c r="I55" s="14" t="s">
        <v>0</v>
      </c>
      <c r="J55" s="15" t="s">
        <v>0</v>
      </c>
      <c r="K55" s="10" t="s">
        <v>0</v>
      </c>
      <c r="L55" s="10" t="s">
        <v>0</v>
      </c>
      <c r="M55" s="10" t="s">
        <v>0</v>
      </c>
      <c r="N55" s="10" t="s">
        <v>0</v>
      </c>
      <c r="O55" s="10" t="s">
        <v>0</v>
      </c>
      <c r="P55" s="10" t="s">
        <v>0</v>
      </c>
      <c r="Q55" s="10" t="s">
        <v>0</v>
      </c>
      <c r="R55" s="10" t="s">
        <v>0</v>
      </c>
    </row>
    <row r="56" spans="1:18" ht="129" customHeight="1">
      <c r="A56" s="42" t="s">
        <v>0</v>
      </c>
      <c r="B56" s="74" t="s">
        <v>80</v>
      </c>
      <c r="C56" s="75"/>
      <c r="D56" s="75"/>
      <c r="E56" s="75"/>
      <c r="F56" s="75"/>
      <c r="G56" s="75"/>
      <c r="H56" s="76"/>
      <c r="I56" s="14" t="s">
        <v>0</v>
      </c>
      <c r="J56" s="15" t="s">
        <v>0</v>
      </c>
      <c r="K56" s="10" t="s">
        <v>0</v>
      </c>
      <c r="L56" s="10" t="s">
        <v>0</v>
      </c>
      <c r="M56" s="10" t="s">
        <v>0</v>
      </c>
      <c r="N56" s="10" t="s">
        <v>0</v>
      </c>
      <c r="O56" s="10" t="s">
        <v>0</v>
      </c>
      <c r="P56" s="10" t="s">
        <v>0</v>
      </c>
      <c r="Q56" s="10" t="s">
        <v>0</v>
      </c>
      <c r="R56" s="10" t="s">
        <v>0</v>
      </c>
    </row>
    <row r="57" spans="1:18" ht="55.5" customHeight="1">
      <c r="A57" s="42"/>
      <c r="B57" s="77"/>
      <c r="C57" s="78"/>
      <c r="D57" s="78"/>
      <c r="E57" s="78"/>
      <c r="F57" s="78"/>
      <c r="G57" s="78"/>
      <c r="H57" s="79"/>
      <c r="I57" s="14"/>
      <c r="J57" s="15"/>
      <c r="K57" s="10"/>
      <c r="L57" s="10"/>
      <c r="M57" s="10"/>
      <c r="N57" s="10"/>
      <c r="O57" s="10"/>
      <c r="P57" s="10"/>
      <c r="Q57" s="10"/>
      <c r="R57" s="10"/>
    </row>
    <row r="58" spans="1:18" ht="73.5" customHeight="1">
      <c r="A58" s="6" t="s">
        <v>0</v>
      </c>
      <c r="B58" s="52" t="s">
        <v>0</v>
      </c>
      <c r="C58" s="53" t="s">
        <v>0</v>
      </c>
      <c r="D58" s="53" t="s">
        <v>0</v>
      </c>
      <c r="E58" s="52" t="s">
        <v>0</v>
      </c>
      <c r="F58" s="52" t="s">
        <v>0</v>
      </c>
      <c r="G58" s="54" t="s">
        <v>69</v>
      </c>
      <c r="H58" s="65">
        <f>IF(COUNT(H30,H36,H42,H49,H55)=5,IF(AND(H30&gt;5.4,H36&gt;5.4,H42&gt;5.4,H49&gt;5.4,H55&gt;5.4),(H26*H30)+(H33*H36)+(H39*H42)+(H45*H49)+(H52*H55),"FAIL"),"FAIL")</f>
        <v>7.96</v>
      </c>
      <c r="I58" s="14" t="s">
        <v>0</v>
      </c>
      <c r="J58" s="8" t="s">
        <v>0</v>
      </c>
      <c r="K58" s="10" t="s">
        <v>0</v>
      </c>
      <c r="L58" s="10" t="s">
        <v>0</v>
      </c>
      <c r="M58" s="10" t="s">
        <v>0</v>
      </c>
      <c r="N58" s="10" t="s">
        <v>0</v>
      </c>
      <c r="O58" s="10" t="s">
        <v>0</v>
      </c>
      <c r="P58" s="10" t="s">
        <v>0</v>
      </c>
      <c r="Q58" s="10" t="s">
        <v>0</v>
      </c>
      <c r="R58" s="10" t="s">
        <v>0</v>
      </c>
    </row>
    <row r="59" spans="1:18" ht="15" customHeight="1">
      <c r="A59" s="6" t="s">
        <v>0</v>
      </c>
      <c r="B59" s="80" t="s">
        <v>0</v>
      </c>
      <c r="C59" s="80"/>
      <c r="D59" s="80"/>
      <c r="E59" s="80"/>
      <c r="F59" s="80"/>
      <c r="G59" s="52" t="s">
        <v>0</v>
      </c>
      <c r="H59" s="55" t="s">
        <v>0</v>
      </c>
      <c r="I59" s="14" t="s">
        <v>0</v>
      </c>
      <c r="J59" s="8" t="s">
        <v>0</v>
      </c>
      <c r="K59" s="10" t="s">
        <v>0</v>
      </c>
      <c r="L59" s="10" t="s">
        <v>0</v>
      </c>
      <c r="M59" s="10" t="s">
        <v>0</v>
      </c>
      <c r="N59" s="10" t="s">
        <v>0</v>
      </c>
      <c r="O59" s="10" t="s">
        <v>0</v>
      </c>
      <c r="P59" s="10" t="s">
        <v>0</v>
      </c>
      <c r="Q59" s="10" t="s">
        <v>0</v>
      </c>
      <c r="R59" s="10" t="s">
        <v>0</v>
      </c>
    </row>
    <row r="60" spans="1:18" ht="15" customHeight="1">
      <c r="A60" s="6" t="s">
        <v>0</v>
      </c>
      <c r="B60" s="81" t="s">
        <v>70</v>
      </c>
      <c r="C60" s="82"/>
      <c r="D60" s="82"/>
      <c r="E60" s="82"/>
      <c r="F60" s="82"/>
      <c r="G60" s="82"/>
      <c r="H60" s="83"/>
      <c r="I60" s="14" t="s">
        <v>0</v>
      </c>
      <c r="J60" s="8" t="s">
        <v>0</v>
      </c>
      <c r="K60" s="10" t="s">
        <v>0</v>
      </c>
      <c r="L60" s="10" t="s">
        <v>0</v>
      </c>
      <c r="M60" s="10" t="s">
        <v>0</v>
      </c>
      <c r="N60" s="10" t="s">
        <v>0</v>
      </c>
      <c r="O60" s="10" t="s">
        <v>0</v>
      </c>
      <c r="P60" s="10" t="s">
        <v>0</v>
      </c>
      <c r="Q60" s="10" t="s">
        <v>0</v>
      </c>
      <c r="R60" s="10" t="s">
        <v>0</v>
      </c>
    </row>
    <row r="61" spans="1:18" ht="110.25" customHeight="1">
      <c r="A61" s="6" t="s">
        <v>0</v>
      </c>
      <c r="B61" s="66" t="s">
        <v>81</v>
      </c>
      <c r="C61" s="67"/>
      <c r="D61" s="67"/>
      <c r="E61" s="67"/>
      <c r="F61" s="67"/>
      <c r="G61" s="67"/>
      <c r="H61" s="68"/>
      <c r="I61" s="14" t="s">
        <v>0</v>
      </c>
      <c r="J61" s="8" t="s">
        <v>0</v>
      </c>
      <c r="K61" s="10" t="s">
        <v>0</v>
      </c>
      <c r="L61" s="10" t="s">
        <v>0</v>
      </c>
      <c r="M61" s="10" t="s">
        <v>0</v>
      </c>
      <c r="N61" s="10" t="s">
        <v>0</v>
      </c>
      <c r="O61" s="10" t="s">
        <v>0</v>
      </c>
      <c r="P61" s="10" t="s">
        <v>0</v>
      </c>
      <c r="Q61" s="10" t="s">
        <v>0</v>
      </c>
      <c r="R61" s="10" t="s">
        <v>0</v>
      </c>
    </row>
    <row r="62" spans="1:18">
      <c r="A62" s="6" t="s">
        <v>0</v>
      </c>
      <c r="B62" s="52" t="s">
        <v>0</v>
      </c>
      <c r="C62" s="53" t="s">
        <v>0</v>
      </c>
      <c r="D62" s="53" t="s">
        <v>0</v>
      </c>
      <c r="E62" s="52" t="s">
        <v>0</v>
      </c>
      <c r="F62" s="52" t="s">
        <v>0</v>
      </c>
      <c r="G62" s="52" t="s">
        <v>0</v>
      </c>
      <c r="H62" s="55" t="s">
        <v>0</v>
      </c>
      <c r="I62" s="14" t="s">
        <v>0</v>
      </c>
      <c r="J62" s="8" t="s">
        <v>0</v>
      </c>
      <c r="K62" s="10" t="s">
        <v>0</v>
      </c>
      <c r="L62" s="10" t="s">
        <v>0</v>
      </c>
      <c r="M62" s="10" t="s">
        <v>0</v>
      </c>
      <c r="N62" s="10" t="s">
        <v>0</v>
      </c>
      <c r="O62" s="10" t="s">
        <v>0</v>
      </c>
      <c r="P62" s="10" t="s">
        <v>0</v>
      </c>
      <c r="Q62" s="10" t="s">
        <v>0</v>
      </c>
      <c r="R62" s="10" t="s">
        <v>0</v>
      </c>
    </row>
    <row r="63" spans="1:18" ht="15.75" thickBot="1">
      <c r="A63" s="56" t="s">
        <v>0</v>
      </c>
      <c r="B63" s="57" t="s">
        <v>0</v>
      </c>
      <c r="C63" s="58" t="s">
        <v>0</v>
      </c>
      <c r="D63" s="58" t="s">
        <v>0</v>
      </c>
      <c r="E63" s="57" t="s">
        <v>0</v>
      </c>
      <c r="F63" s="57" t="s">
        <v>0</v>
      </c>
      <c r="G63" s="57" t="s">
        <v>0</v>
      </c>
      <c r="H63" s="59" t="s">
        <v>0</v>
      </c>
      <c r="I63" s="60" t="s">
        <v>0</v>
      </c>
      <c r="J63" s="8" t="s">
        <v>0</v>
      </c>
      <c r="K63" s="10" t="s">
        <v>0</v>
      </c>
      <c r="L63" s="10" t="s">
        <v>0</v>
      </c>
      <c r="M63" s="10" t="s">
        <v>0</v>
      </c>
      <c r="N63" s="10" t="s">
        <v>0</v>
      </c>
      <c r="O63" s="10" t="s">
        <v>0</v>
      </c>
      <c r="P63" s="10" t="s">
        <v>0</v>
      </c>
      <c r="Q63" s="10" t="s">
        <v>0</v>
      </c>
      <c r="R63" s="10" t="s">
        <v>0</v>
      </c>
    </row>
    <row r="64" spans="1:18">
      <c r="A64" s="8" t="s">
        <v>0</v>
      </c>
      <c r="B64" s="10" t="s">
        <v>0</v>
      </c>
      <c r="C64" s="61" t="s">
        <v>0</v>
      </c>
      <c r="D64" s="61" t="s">
        <v>0</v>
      </c>
      <c r="E64" s="10" t="s">
        <v>0</v>
      </c>
      <c r="F64" s="10" t="s">
        <v>0</v>
      </c>
      <c r="G64" s="10" t="s">
        <v>0</v>
      </c>
      <c r="H64" s="62" t="s">
        <v>0</v>
      </c>
      <c r="I64" s="63" t="s">
        <v>0</v>
      </c>
      <c r="J64" s="8" t="s">
        <v>0</v>
      </c>
      <c r="K64" s="10" t="s">
        <v>0</v>
      </c>
      <c r="L64" s="10" t="s">
        <v>0</v>
      </c>
      <c r="M64" s="10" t="s">
        <v>0</v>
      </c>
      <c r="N64" s="10" t="s">
        <v>0</v>
      </c>
      <c r="O64" s="10" t="s">
        <v>0</v>
      </c>
      <c r="P64" s="10" t="s">
        <v>0</v>
      </c>
      <c r="Q64" s="10" t="s">
        <v>0</v>
      </c>
      <c r="R64" s="10" t="s">
        <v>0</v>
      </c>
    </row>
  </sheetData>
  <sheetProtection algorithmName="SHA-512" hashValue="utG3jkbNQjUj3ppwhLvYQUCs7LUTdqdJpC4gQx4e5zAE+13+pMyG8SdvMa13qDWRYTCJY1ysTDzr6sOn8FKFKA==" saltValue="bqSMhUD4iN87w7CKpgViKA==" spinCount="100000" sheet="1"/>
  <mergeCells count="56">
    <mergeCell ref="B16:H16"/>
    <mergeCell ref="B1:H1"/>
    <mergeCell ref="B2:H2"/>
    <mergeCell ref="B3:H3"/>
    <mergeCell ref="M3:N13"/>
    <mergeCell ref="B4:H4"/>
    <mergeCell ref="B17:C17"/>
    <mergeCell ref="D17:H17"/>
    <mergeCell ref="B18:C18"/>
    <mergeCell ref="D18:H18"/>
    <mergeCell ref="B19:C19"/>
    <mergeCell ref="D19:H19"/>
    <mergeCell ref="D29:G29"/>
    <mergeCell ref="B20:C20"/>
    <mergeCell ref="D20:H20"/>
    <mergeCell ref="B21:C21"/>
    <mergeCell ref="D21:H21"/>
    <mergeCell ref="B22:C22"/>
    <mergeCell ref="B23:C23"/>
    <mergeCell ref="D23:H23"/>
    <mergeCell ref="B25:C25"/>
    <mergeCell ref="D25:G25"/>
    <mergeCell ref="D26:G26"/>
    <mergeCell ref="D27:G27"/>
    <mergeCell ref="D28:G28"/>
    <mergeCell ref="D41:G41"/>
    <mergeCell ref="B30:F30"/>
    <mergeCell ref="B31:H31"/>
    <mergeCell ref="B32:H32"/>
    <mergeCell ref="D33:G33"/>
    <mergeCell ref="D34:G34"/>
    <mergeCell ref="D35:G35"/>
    <mergeCell ref="B36:F36"/>
    <mergeCell ref="B37:H37"/>
    <mergeCell ref="B38:H38"/>
    <mergeCell ref="D39:G39"/>
    <mergeCell ref="D40:G40"/>
    <mergeCell ref="D53:G53"/>
    <mergeCell ref="B42:F42"/>
    <mergeCell ref="B43:H43"/>
    <mergeCell ref="B44:H44"/>
    <mergeCell ref="D45:G45"/>
    <mergeCell ref="D46:G46"/>
    <mergeCell ref="D47:G47"/>
    <mergeCell ref="D48:G48"/>
    <mergeCell ref="B49:F49"/>
    <mergeCell ref="B50:H50"/>
    <mergeCell ref="B51:H51"/>
    <mergeCell ref="D52:G52"/>
    <mergeCell ref="B61:H61"/>
    <mergeCell ref="D54:G54"/>
    <mergeCell ref="B55:F55"/>
    <mergeCell ref="B56:H56"/>
    <mergeCell ref="B57:H57"/>
    <mergeCell ref="B59:F59"/>
    <mergeCell ref="B60:H60"/>
  </mergeCells>
  <conditionalFormatting sqref="H30 H36 H42 H49 H55">
    <cfRule type="cellIs" dxfId="2" priority="1" operator="equal">
      <formula>"FAIL"</formula>
    </cfRule>
    <cfRule type="cellIs" dxfId="1" priority="2" operator="lessThan">
      <formula>5.5</formula>
    </cfRule>
    <cfRule type="cellIs" dxfId="0" priority="3" operator="greaterThan">
      <formula>5.4</formula>
    </cfRule>
  </conditionalFormatting>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tsegaye misikir</dc:creator>
  <cp:lastModifiedBy>Vladi Stoimenov</cp:lastModifiedBy>
  <dcterms:created xsi:type="dcterms:W3CDTF">2026-08-21T05:25:34Z</dcterms:created>
  <dcterms:modified xsi:type="dcterms:W3CDTF">2026-10-12T08:38:22Z</dcterms:modified>
</cp:coreProperties>
</file>